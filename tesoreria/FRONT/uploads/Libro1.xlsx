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amacion\Desktop\"/>
    </mc:Choice>
  </mc:AlternateContent>
  <xr:revisionPtr revIDLastSave="0" documentId="13_ncr:1_{45443220-EB7D-4A50-A4B2-EFB807416C43}" xr6:coauthVersionLast="47" xr6:coauthVersionMax="47" xr10:uidLastSave="{00000000-0000-0000-0000-000000000000}"/>
  <bookViews>
    <workbookView xWindow="-120" yWindow="-120" windowWidth="20730" windowHeight="11160" xr2:uid="{BAF41D57-1D05-4A4C-BFD2-EC8BA7A2F29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2" i="1" l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</calcChain>
</file>

<file path=xl/sharedStrings.xml><?xml version="1.0" encoding="utf-8"?>
<sst xmlns="http://schemas.openxmlformats.org/spreadsheetml/2006/main" count="228" uniqueCount="117">
  <si>
    <t>Marca</t>
  </si>
  <si>
    <t>Adquisicion</t>
  </si>
  <si>
    <t>Iva</t>
  </si>
  <si>
    <t>Presentacion</t>
  </si>
  <si>
    <t>Ubicación</t>
  </si>
  <si>
    <t>Categoria</t>
  </si>
  <si>
    <t>Descripción Larga</t>
  </si>
  <si>
    <t>Descripción Corta</t>
  </si>
  <si>
    <t>Detalle Producto</t>
  </si>
  <si>
    <t>Cantidad</t>
  </si>
  <si>
    <t>Precio Compra</t>
  </si>
  <si>
    <t>Precio Venta</t>
  </si>
  <si>
    <t>ACEITE DE PALMA</t>
  </si>
  <si>
    <t>ACIDOMIX</t>
  </si>
  <si>
    <t>ACIDPOND</t>
  </si>
  <si>
    <t>AFRECHO</t>
  </si>
  <si>
    <t>AJO</t>
  </si>
  <si>
    <t>ALQUILER RETROEXCAVADORA</t>
  </si>
  <si>
    <t>ARREGLO AIRE ACONDICIONADO</t>
  </si>
  <si>
    <t>ARREGLO DE VEHICULO</t>
  </si>
  <si>
    <t>Arreglo de Vehiculo 0%</t>
  </si>
  <si>
    <t>ARREGLO DE VEHICULO 12%</t>
  </si>
  <si>
    <t>ARREGLO Y CORTADA DE MADERA</t>
  </si>
  <si>
    <t>AUT. PREV. IMPORT.</t>
  </si>
  <si>
    <t>AXION FEEDSTIM</t>
  </si>
  <si>
    <t>BALANCEADO</t>
  </si>
  <si>
    <t>balanceado 12%</t>
  </si>
  <si>
    <t>BEBEDEROS</t>
  </si>
  <si>
    <t>BIOPLAGEN AQUA</t>
  </si>
  <si>
    <t>BLOQUES</t>
  </si>
  <si>
    <t>Brolin plus</t>
  </si>
  <si>
    <t>BUTIREX</t>
  </si>
  <si>
    <t>C</t>
  </si>
  <si>
    <t>IMPRESION DE DOCUMENTOS</t>
  </si>
  <si>
    <t>CAJAS DE 12 UNIDADES HUEVOS CRIOLLOS</t>
  </si>
  <si>
    <t>CAL</t>
  </si>
  <si>
    <t>CAL 0%</t>
  </si>
  <si>
    <t>CAMION NLR 511</t>
  </si>
  <si>
    <t>CAMION</t>
  </si>
  <si>
    <t>CARBONATO</t>
  </si>
  <si>
    <t>CIPERMETRINA</t>
  </si>
  <si>
    <t>CLORO</t>
  </si>
  <si>
    <t>COLINA</t>
  </si>
  <si>
    <t>COMEDERO INFANTIL</t>
  </si>
  <si>
    <t>CUADRUPLE</t>
  </si>
  <si>
    <t>CUBETA DE 30 UNIDADES</t>
  </si>
  <si>
    <t>CUBETAS</t>
  </si>
  <si>
    <t>CUBETAS 0%</t>
  </si>
  <si>
    <t>CUOTA ASOCIACION</t>
  </si>
  <si>
    <t>DIESEL</t>
  </si>
  <si>
    <t>DOXICICLINA</t>
  </si>
  <si>
    <t>ECO</t>
  </si>
  <si>
    <t>ENZIMAS</t>
  </si>
  <si>
    <t>EURAVIT</t>
  </si>
  <si>
    <t>EXAMENES PERSONAL</t>
  </si>
  <si>
    <t>FACTURACION ELECTRONICA</t>
  </si>
  <si>
    <t>FOSFATO</t>
  </si>
  <si>
    <t>FURGON PARA NLR</t>
  </si>
  <si>
    <t>FURGON</t>
  </si>
  <si>
    <t>HEPATITIS 4 &amp; 8</t>
  </si>
  <si>
    <t>HIPRAVIAR SHS</t>
  </si>
  <si>
    <t>HOSPEDAJE 0%</t>
  </si>
  <si>
    <t>HUIEVOS CRIOLLOS</t>
  </si>
  <si>
    <t>IMPRESION DE ETIQUETAS</t>
  </si>
  <si>
    <t>INCUBACION DE HUEVO</t>
  </si>
  <si>
    <t>internet</t>
  </si>
  <si>
    <t>IODINE</t>
  </si>
  <si>
    <t>JERINGA</t>
  </si>
  <si>
    <t>lavada de vehiculo 0%</t>
  </si>
  <si>
    <t>LAVADA VEHICULO 12%</t>
  </si>
  <si>
    <t>LOGISTICA</t>
  </si>
  <si>
    <t>LOGOS</t>
  </si>
  <si>
    <t>LUZ</t>
  </si>
  <si>
    <t>MAIZ</t>
  </si>
  <si>
    <t>MANTENIMIENTO DE GALPON</t>
  </si>
  <si>
    <t>Mantenimiento de Galpón Agrícola</t>
  </si>
  <si>
    <t>MASCARILLAS</t>
  </si>
  <si>
    <t>METIONINA</t>
  </si>
  <si>
    <t>NEWCASTLE BRONQUITIS</t>
  </si>
  <si>
    <t>niples</t>
  </si>
  <si>
    <t>NUCLEOS</t>
  </si>
  <si>
    <t>OSMEC</t>
  </si>
  <si>
    <t>OX VIRIN</t>
  </si>
  <si>
    <t>PERMISO ZOOSANITARIO</t>
  </si>
  <si>
    <t>POLIMEVE</t>
  </si>
  <si>
    <t>PREDIO DE CUARENTENA</t>
  </si>
  <si>
    <t>PREMIX BROILER</t>
  </si>
  <si>
    <t>PREMIX POSTURA</t>
  </si>
  <si>
    <t>PROACTIV</t>
  </si>
  <si>
    <t>Registro ambiental</t>
  </si>
  <si>
    <t>REGISTRO AMBIENTAL 12%</t>
  </si>
  <si>
    <t>REPUESTOS PARA NIPLES</t>
  </si>
  <si>
    <t>REPUESTOS VEHICULOS 12%</t>
  </si>
  <si>
    <t>REPUESTOS VEHICULOS</t>
  </si>
  <si>
    <t>SAL</t>
  </si>
  <si>
    <t>SEGURO ADUANERO</t>
  </si>
  <si>
    <t>SERVICIO DE ENCOMIENDA</t>
  </si>
  <si>
    <t>SERVICIO DE INCUBACION</t>
  </si>
  <si>
    <t>SERVICIO DE NACIONALIZACION</t>
  </si>
  <si>
    <t>SERVICIOS 0%</t>
  </si>
  <si>
    <t>SERVICIOS NOTARIALES 0%</t>
  </si>
  <si>
    <t>SERVICIOS NOTARIALES 12%</t>
  </si>
  <si>
    <t>SOYA</t>
  </si>
  <si>
    <t>STAFACK</t>
  </si>
  <si>
    <t>SUMINISTROS DE FERRETERIA</t>
  </si>
  <si>
    <t>SUMINISTROS DE FERRETERIA 0%</t>
  </si>
  <si>
    <t>SUMINISTROS DE OFICINA</t>
  </si>
  <si>
    <t>SUPER</t>
  </si>
  <si>
    <t>TILOVET</t>
  </si>
  <si>
    <t>tramite de permiso zoosanitario</t>
  </si>
  <si>
    <t>TRANSPORTE</t>
  </si>
  <si>
    <t>TRATAMIENTO CURATIVO CON FOSFINA</t>
  </si>
  <si>
    <t>TRATAMIENTO PARA MAIZ</t>
  </si>
  <si>
    <t>UNIFORMES PERSONAL</t>
  </si>
  <si>
    <t>UNIFORMES PERSONAL 12%</t>
  </si>
  <si>
    <t>VINAGRE</t>
  </si>
  <si>
    <t>YES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</si>
</sst>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2" fillId="0" borderId="3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AB5D-B797-434A-9AF2-B458B1F606A8}">
  <dimension ref="A1:L102"/>
  <sheetViews>
    <sheetView tabSelected="1" workbookViewId="0">
      <selection activeCell="J2" sqref="J2:L102"/>
    </sheetView>
  </sheetViews>
  <sheetFormatPr baseColWidth="10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4">
        <v>1588</v>
      </c>
      <c r="B2" s="4">
        <v>14</v>
      </c>
      <c r="C2" s="4">
        <v>5</v>
      </c>
      <c r="D2" s="4">
        <v>12</v>
      </c>
      <c r="E2" s="4">
        <v>313</v>
      </c>
      <c r="F2" s="4">
        <v>1558</v>
      </c>
      <c r="G2" s="3" t="s">
        <v>12</v>
      </c>
      <c r="H2" s="3" t="s">
        <v>12</v>
      </c>
      <c r="I2" s="3" t="s">
        <v>12</v>
      </c>
      <c r="J2" s="4">
        <v>1</v>
      </c>
      <c r="K2" s="4">
        <v>1</v>
      </c>
      <c r="L2" s="4">
        <v>1</v>
      </c>
    </row>
    <row r="3" spans="1:12" x14ac:dyDescent="0.25">
      <c r="A3" s="4">
        <v>1588</v>
      </c>
      <c r="B3" s="4">
        <v>14</v>
      </c>
      <c r="C3" s="4">
        <v>5</v>
      </c>
      <c r="D3" s="4">
        <v>12</v>
      </c>
      <c r="E3" s="4">
        <v>313</v>
      </c>
      <c r="F3" s="4">
        <v>1558</v>
      </c>
      <c r="G3" s="3" t="s">
        <v>13</v>
      </c>
      <c r="H3" s="3" t="s">
        <v>13</v>
      </c>
      <c r="I3" s="3" t="s">
        <v>13</v>
      </c>
      <c r="J3" s="4">
        <v>1</v>
      </c>
      <c r="K3" s="4">
        <v>1</v>
      </c>
      <c r="L3" s="4">
        <v>1</v>
      </c>
    </row>
    <row r="4" spans="1:12" x14ac:dyDescent="0.25">
      <c r="A4" s="4">
        <v>1588</v>
      </c>
      <c r="B4" s="4">
        <v>14</v>
      </c>
      <c r="C4" s="4">
        <v>5</v>
      </c>
      <c r="D4" s="4">
        <v>12</v>
      </c>
      <c r="E4" s="4">
        <v>313</v>
      </c>
      <c r="F4" s="4">
        <v>1794</v>
      </c>
      <c r="G4" s="3" t="s">
        <v>14</v>
      </c>
      <c r="H4" s="3" t="s">
        <v>14</v>
      </c>
      <c r="I4" s="3" t="s">
        <v>14</v>
      </c>
      <c r="J4" s="4">
        <v>1</v>
      </c>
      <c r="K4" s="4">
        <v>1</v>
      </c>
      <c r="L4" s="4">
        <v>1</v>
      </c>
    </row>
    <row r="5" spans="1:12" x14ac:dyDescent="0.25">
      <c r="A5" s="4">
        <v>1588</v>
      </c>
      <c r="B5" s="4">
        <v>14</v>
      </c>
      <c r="C5" s="4">
        <v>5</v>
      </c>
      <c r="D5" s="4">
        <v>12</v>
      </c>
      <c r="E5" s="4">
        <v>313</v>
      </c>
      <c r="F5" s="4">
        <v>1558</v>
      </c>
      <c r="G5" s="3" t="s">
        <v>15</v>
      </c>
      <c r="H5" s="3" t="s">
        <v>15</v>
      </c>
      <c r="I5" s="3" t="s">
        <v>15</v>
      </c>
      <c r="J5" s="4">
        <v>1</v>
      </c>
      <c r="K5" s="4">
        <v>1</v>
      </c>
      <c r="L5" s="4">
        <v>1</v>
      </c>
    </row>
    <row r="6" spans="1:12" x14ac:dyDescent="0.25">
      <c r="A6" s="4">
        <v>1588</v>
      </c>
      <c r="B6" s="4">
        <v>14</v>
      </c>
      <c r="C6" s="4">
        <v>3</v>
      </c>
      <c r="D6" s="4">
        <v>12</v>
      </c>
      <c r="E6" s="4">
        <v>313</v>
      </c>
      <c r="F6" s="4">
        <v>1558</v>
      </c>
      <c r="G6" s="3" t="s">
        <v>16</v>
      </c>
      <c r="H6" s="3" t="s">
        <v>16</v>
      </c>
      <c r="I6" s="3" t="s">
        <v>16</v>
      </c>
      <c r="J6" s="4">
        <v>1</v>
      </c>
      <c r="K6" s="4">
        <v>1</v>
      </c>
      <c r="L6" s="4">
        <v>1</v>
      </c>
    </row>
    <row r="7" spans="1:12" x14ac:dyDescent="0.25">
      <c r="A7" s="4">
        <v>1588</v>
      </c>
      <c r="B7" s="4">
        <v>3</v>
      </c>
      <c r="C7" s="4">
        <v>3</v>
      </c>
      <c r="D7" s="4">
        <v>12</v>
      </c>
      <c r="E7" s="4">
        <v>313</v>
      </c>
      <c r="F7" s="4">
        <v>1834</v>
      </c>
      <c r="G7" s="3" t="s">
        <v>17</v>
      </c>
      <c r="H7" s="3" t="s">
        <v>17</v>
      </c>
      <c r="I7" s="3" t="s">
        <v>17</v>
      </c>
      <c r="J7" s="4">
        <v>1</v>
      </c>
      <c r="K7" s="4">
        <v>1</v>
      </c>
      <c r="L7" s="4">
        <v>1</v>
      </c>
    </row>
    <row r="8" spans="1:12" x14ac:dyDescent="0.25">
      <c r="A8" s="4">
        <v>1588</v>
      </c>
      <c r="B8" s="4">
        <v>3</v>
      </c>
      <c r="C8" s="4">
        <v>5</v>
      </c>
      <c r="D8" s="4">
        <v>12</v>
      </c>
      <c r="E8" s="4">
        <v>313</v>
      </c>
      <c r="F8" s="4">
        <v>1565</v>
      </c>
      <c r="G8" s="3" t="s">
        <v>18</v>
      </c>
      <c r="H8" s="3" t="s">
        <v>18</v>
      </c>
      <c r="I8" s="3" t="s">
        <v>18</v>
      </c>
      <c r="J8" s="4">
        <v>1</v>
      </c>
      <c r="K8" s="4">
        <v>1</v>
      </c>
      <c r="L8" s="4">
        <v>1</v>
      </c>
    </row>
    <row r="9" spans="1:12" x14ac:dyDescent="0.25">
      <c r="A9" s="4">
        <v>1588</v>
      </c>
      <c r="B9" s="4">
        <v>3</v>
      </c>
      <c r="C9" s="4">
        <v>5</v>
      </c>
      <c r="D9" s="4">
        <v>12</v>
      </c>
      <c r="E9" s="4">
        <v>313</v>
      </c>
      <c r="F9" s="4">
        <v>1580</v>
      </c>
      <c r="G9" s="3" t="s">
        <v>19</v>
      </c>
      <c r="H9" s="3" t="s">
        <v>19</v>
      </c>
      <c r="I9" s="3" t="s">
        <v>19</v>
      </c>
      <c r="J9" s="4">
        <v>1</v>
      </c>
      <c r="K9" s="4">
        <v>1</v>
      </c>
      <c r="L9" s="4">
        <v>1</v>
      </c>
    </row>
    <row r="10" spans="1:12" x14ac:dyDescent="0.25">
      <c r="A10" s="4">
        <v>1588</v>
      </c>
      <c r="B10" s="4">
        <v>3</v>
      </c>
      <c r="C10" s="4">
        <v>5</v>
      </c>
      <c r="D10" s="4">
        <v>12</v>
      </c>
      <c r="E10" s="4">
        <v>313</v>
      </c>
      <c r="F10" s="4">
        <v>1562</v>
      </c>
      <c r="G10" s="3" t="s">
        <v>20</v>
      </c>
      <c r="H10" s="3" t="s">
        <v>20</v>
      </c>
      <c r="I10" s="3" t="s">
        <v>20</v>
      </c>
      <c r="J10" s="4">
        <v>1</v>
      </c>
      <c r="K10" s="4">
        <v>1</v>
      </c>
      <c r="L10" s="4">
        <v>1</v>
      </c>
    </row>
    <row r="11" spans="1:12" x14ac:dyDescent="0.25">
      <c r="A11" s="4">
        <v>1588</v>
      </c>
      <c r="B11" s="4">
        <v>3</v>
      </c>
      <c r="C11" s="4">
        <v>6</v>
      </c>
      <c r="D11" s="4">
        <v>12</v>
      </c>
      <c r="E11" s="4">
        <v>313</v>
      </c>
      <c r="F11" s="4">
        <v>2025</v>
      </c>
      <c r="G11" s="3" t="s">
        <v>21</v>
      </c>
      <c r="H11" s="3" t="s">
        <v>21</v>
      </c>
      <c r="I11" s="3" t="s">
        <v>21</v>
      </c>
      <c r="J11" s="4">
        <v>1</v>
      </c>
      <c r="K11" s="4">
        <v>1</v>
      </c>
      <c r="L11" s="4">
        <v>1</v>
      </c>
    </row>
    <row r="12" spans="1:12" x14ac:dyDescent="0.25">
      <c r="A12" s="4">
        <v>1588</v>
      </c>
      <c r="B12" s="4">
        <v>3</v>
      </c>
      <c r="C12" s="4">
        <v>5</v>
      </c>
      <c r="D12" s="4">
        <v>12</v>
      </c>
      <c r="E12" s="4">
        <v>313</v>
      </c>
      <c r="F12" s="4">
        <v>1601</v>
      </c>
      <c r="G12" s="3" t="s">
        <v>22</v>
      </c>
      <c r="H12" s="3" t="s">
        <v>22</v>
      </c>
      <c r="I12" s="3" t="s">
        <v>22</v>
      </c>
      <c r="J12" s="4">
        <v>1</v>
      </c>
      <c r="K12" s="4">
        <v>1</v>
      </c>
      <c r="L12" s="4">
        <v>1</v>
      </c>
    </row>
    <row r="13" spans="1:12" x14ac:dyDescent="0.25">
      <c r="A13" s="4">
        <v>1588</v>
      </c>
      <c r="B13" s="4">
        <v>3</v>
      </c>
      <c r="C13" s="4">
        <v>5</v>
      </c>
      <c r="D13" s="4">
        <v>12</v>
      </c>
      <c r="E13" s="4">
        <v>313</v>
      </c>
      <c r="F13" s="4">
        <v>2063</v>
      </c>
      <c r="G13" s="3" t="s">
        <v>23</v>
      </c>
      <c r="H13" s="3" t="s">
        <v>23</v>
      </c>
      <c r="I13" s="3" t="s">
        <v>23</v>
      </c>
      <c r="J13" s="4">
        <v>1</v>
      </c>
      <c r="K13" s="4">
        <v>1</v>
      </c>
      <c r="L13" s="4">
        <v>1</v>
      </c>
    </row>
    <row r="14" spans="1:12" x14ac:dyDescent="0.25">
      <c r="A14" s="4">
        <v>1588</v>
      </c>
      <c r="B14" s="4">
        <v>14</v>
      </c>
      <c r="C14" s="4">
        <v>5</v>
      </c>
      <c r="D14" s="4">
        <v>12</v>
      </c>
      <c r="E14" s="4">
        <v>313</v>
      </c>
      <c r="F14" s="4">
        <v>1558</v>
      </c>
      <c r="G14" s="3" t="s">
        <v>24</v>
      </c>
      <c r="H14" s="3" t="s">
        <v>24</v>
      </c>
      <c r="I14" s="3" t="s">
        <v>24</v>
      </c>
      <c r="J14" s="4">
        <v>1</v>
      </c>
      <c r="K14" s="4">
        <v>1</v>
      </c>
      <c r="L14" s="4">
        <v>1</v>
      </c>
    </row>
    <row r="15" spans="1:12" x14ac:dyDescent="0.25">
      <c r="A15" s="4">
        <v>1588</v>
      </c>
      <c r="B15" s="4">
        <v>14</v>
      </c>
      <c r="C15" s="4">
        <v>5</v>
      </c>
      <c r="D15" s="4">
        <v>12</v>
      </c>
      <c r="E15" s="4">
        <v>313</v>
      </c>
      <c r="F15" s="4">
        <v>1558</v>
      </c>
      <c r="G15" s="3" t="s">
        <v>25</v>
      </c>
      <c r="H15" s="3" t="s">
        <v>25</v>
      </c>
      <c r="I15" s="3" t="s">
        <v>25</v>
      </c>
      <c r="J15" s="4">
        <v>1</v>
      </c>
      <c r="K15" s="4">
        <v>1</v>
      </c>
      <c r="L15" s="4">
        <v>1</v>
      </c>
    </row>
    <row r="16" spans="1:12" x14ac:dyDescent="0.25">
      <c r="A16" s="4">
        <v>1588</v>
      </c>
      <c r="B16" s="4">
        <v>14</v>
      </c>
      <c r="C16" s="4">
        <v>3</v>
      </c>
      <c r="D16" s="4">
        <v>12</v>
      </c>
      <c r="E16" s="4">
        <v>313</v>
      </c>
      <c r="F16" s="4">
        <v>1558</v>
      </c>
      <c r="G16" s="3" t="s">
        <v>26</v>
      </c>
      <c r="H16" s="3" t="s">
        <v>26</v>
      </c>
      <c r="I16" s="5" t="str">
        <f>H16</f>
        <v>balanceado 12%</v>
      </c>
      <c r="J16" s="4">
        <v>1</v>
      </c>
      <c r="K16" s="4">
        <v>1</v>
      </c>
      <c r="L16" s="4">
        <v>1</v>
      </c>
    </row>
    <row r="17" spans="1:12" x14ac:dyDescent="0.25">
      <c r="A17" s="4">
        <v>1588</v>
      </c>
      <c r="B17" s="4">
        <v>1</v>
      </c>
      <c r="C17" s="4">
        <v>5</v>
      </c>
      <c r="D17" s="4">
        <v>12</v>
      </c>
      <c r="E17" s="4">
        <v>313</v>
      </c>
      <c r="F17" s="4">
        <v>2055</v>
      </c>
      <c r="G17" s="3" t="s">
        <v>27</v>
      </c>
      <c r="H17" s="3" t="s">
        <v>27</v>
      </c>
      <c r="I17" s="5" t="str">
        <f>H17</f>
        <v>BEBEDEROS</v>
      </c>
      <c r="J17" s="4">
        <v>1</v>
      </c>
      <c r="K17" s="4">
        <v>1</v>
      </c>
      <c r="L17" s="4">
        <v>1</v>
      </c>
    </row>
    <row r="18" spans="1:12" x14ac:dyDescent="0.25">
      <c r="A18" s="4">
        <v>1588</v>
      </c>
      <c r="B18" s="4">
        <v>14</v>
      </c>
      <c r="C18" s="4">
        <v>5</v>
      </c>
      <c r="D18" s="4">
        <v>12</v>
      </c>
      <c r="E18" s="4">
        <v>313</v>
      </c>
      <c r="F18" s="4">
        <v>1794</v>
      </c>
      <c r="G18" s="3" t="s">
        <v>28</v>
      </c>
      <c r="H18" s="3" t="s">
        <v>28</v>
      </c>
      <c r="I18" s="5" t="str">
        <f t="shared" ref="I18:I81" si="0">H18</f>
        <v>BIOPLAGEN AQUA</v>
      </c>
      <c r="J18" s="4">
        <v>1</v>
      </c>
      <c r="K18" s="4">
        <v>1</v>
      </c>
      <c r="L18" s="4">
        <v>1</v>
      </c>
    </row>
    <row r="19" spans="1:12" x14ac:dyDescent="0.25">
      <c r="A19" s="4">
        <v>1588</v>
      </c>
      <c r="B19" s="4">
        <v>14</v>
      </c>
      <c r="C19" s="4">
        <v>5</v>
      </c>
      <c r="D19" s="4">
        <v>12</v>
      </c>
      <c r="E19" s="4">
        <v>313</v>
      </c>
      <c r="F19" s="4">
        <v>1598</v>
      </c>
      <c r="G19" s="3" t="s">
        <v>29</v>
      </c>
      <c r="H19" s="3" t="s">
        <v>29</v>
      </c>
      <c r="I19" s="5" t="str">
        <f t="shared" si="0"/>
        <v>BLOQUES</v>
      </c>
      <c r="J19" s="4">
        <v>1</v>
      </c>
      <c r="K19" s="4">
        <v>1</v>
      </c>
      <c r="L19" s="4">
        <v>1</v>
      </c>
    </row>
    <row r="20" spans="1:12" x14ac:dyDescent="0.25">
      <c r="A20" s="4">
        <v>1588</v>
      </c>
      <c r="B20" s="4">
        <v>13</v>
      </c>
      <c r="C20" s="4">
        <v>5</v>
      </c>
      <c r="D20" s="4">
        <v>12</v>
      </c>
      <c r="E20" s="4">
        <v>313</v>
      </c>
      <c r="F20" s="4">
        <v>1558</v>
      </c>
      <c r="G20" s="3" t="s">
        <v>30</v>
      </c>
      <c r="H20" s="3" t="s">
        <v>30</v>
      </c>
      <c r="I20" s="5" t="str">
        <f t="shared" si="0"/>
        <v>Brolin plus</v>
      </c>
      <c r="J20" s="4">
        <v>1</v>
      </c>
      <c r="K20" s="4">
        <v>1</v>
      </c>
      <c r="L20" s="4">
        <v>1</v>
      </c>
    </row>
    <row r="21" spans="1:12" x14ac:dyDescent="0.25">
      <c r="A21" s="4">
        <v>1588</v>
      </c>
      <c r="B21" s="4">
        <v>14</v>
      </c>
      <c r="C21" s="4">
        <v>5</v>
      </c>
      <c r="D21" s="4">
        <v>12</v>
      </c>
      <c r="E21" s="4">
        <v>313</v>
      </c>
      <c r="F21" s="4">
        <v>1558</v>
      </c>
      <c r="G21" s="3" t="s">
        <v>31</v>
      </c>
      <c r="H21" s="3" t="s">
        <v>31</v>
      </c>
      <c r="I21" s="5" t="str">
        <f t="shared" si="0"/>
        <v>BUTIREX</v>
      </c>
      <c r="J21" s="4">
        <v>1</v>
      </c>
      <c r="K21" s="4">
        <v>1</v>
      </c>
      <c r="L21" s="4">
        <v>1</v>
      </c>
    </row>
    <row r="22" spans="1:12" x14ac:dyDescent="0.25">
      <c r="A22" s="4">
        <v>1588</v>
      </c>
      <c r="B22" s="4">
        <v>3</v>
      </c>
      <c r="C22" s="4">
        <v>5</v>
      </c>
      <c r="D22" s="4">
        <v>12</v>
      </c>
      <c r="E22" s="4">
        <v>313</v>
      </c>
      <c r="F22" s="4">
        <v>1560</v>
      </c>
      <c r="G22" s="3" t="s">
        <v>32</v>
      </c>
      <c r="H22" s="3" t="s">
        <v>33</v>
      </c>
      <c r="I22" s="5" t="str">
        <f t="shared" si="0"/>
        <v>IMPRESION DE DOCUMENTOS</v>
      </c>
      <c r="J22" s="4">
        <v>1</v>
      </c>
      <c r="K22" s="4">
        <v>1</v>
      </c>
      <c r="L22" s="4">
        <v>1</v>
      </c>
    </row>
    <row r="23" spans="1:12" x14ac:dyDescent="0.25">
      <c r="A23" s="4">
        <v>1588</v>
      </c>
      <c r="B23" s="4">
        <v>1</v>
      </c>
      <c r="C23" s="4">
        <v>5</v>
      </c>
      <c r="D23" s="4">
        <v>12</v>
      </c>
      <c r="E23" s="4">
        <v>313</v>
      </c>
      <c r="F23" s="4">
        <v>2405</v>
      </c>
      <c r="G23" s="3" t="s">
        <v>34</v>
      </c>
      <c r="H23" s="3" t="s">
        <v>34</v>
      </c>
      <c r="I23" s="5" t="str">
        <f t="shared" si="0"/>
        <v>CAJAS DE 12 UNIDADES HUEVOS CRIOLLOS</v>
      </c>
      <c r="J23" s="4">
        <v>1</v>
      </c>
      <c r="K23" s="4">
        <v>1</v>
      </c>
      <c r="L23" s="4">
        <v>1</v>
      </c>
    </row>
    <row r="24" spans="1:12" x14ac:dyDescent="0.25">
      <c r="A24" s="4">
        <v>1588</v>
      </c>
      <c r="B24" s="4">
        <v>14</v>
      </c>
      <c r="C24" s="4">
        <v>3</v>
      </c>
      <c r="D24" s="4">
        <v>12</v>
      </c>
      <c r="E24" s="4">
        <v>313</v>
      </c>
      <c r="F24" s="4">
        <v>1581</v>
      </c>
      <c r="G24" s="3" t="s">
        <v>35</v>
      </c>
      <c r="H24" s="3" t="s">
        <v>35</v>
      </c>
      <c r="I24" s="5" t="str">
        <f t="shared" si="0"/>
        <v>CAL</v>
      </c>
      <c r="J24" s="4">
        <v>1</v>
      </c>
      <c r="K24" s="4">
        <v>1</v>
      </c>
      <c r="L24" s="4">
        <v>1</v>
      </c>
    </row>
    <row r="25" spans="1:12" x14ac:dyDescent="0.25">
      <c r="A25" s="4">
        <v>1588</v>
      </c>
      <c r="B25" s="4">
        <v>14</v>
      </c>
      <c r="C25" s="4">
        <v>5</v>
      </c>
      <c r="D25" s="4">
        <v>12</v>
      </c>
      <c r="E25" s="4">
        <v>313</v>
      </c>
      <c r="F25" s="4">
        <v>1581</v>
      </c>
      <c r="G25" s="3" t="s">
        <v>36</v>
      </c>
      <c r="H25" s="3" t="s">
        <v>36</v>
      </c>
      <c r="I25" s="5" t="str">
        <f t="shared" si="0"/>
        <v>CAL 0%</v>
      </c>
      <c r="J25" s="4">
        <v>1</v>
      </c>
      <c r="K25" s="4">
        <v>1</v>
      </c>
      <c r="L25" s="4">
        <v>1</v>
      </c>
    </row>
    <row r="26" spans="1:12" x14ac:dyDescent="0.25">
      <c r="A26" s="4">
        <v>1588</v>
      </c>
      <c r="B26" s="4">
        <v>1</v>
      </c>
      <c r="C26" s="4">
        <v>3</v>
      </c>
      <c r="D26" s="4">
        <v>12</v>
      </c>
      <c r="E26" s="4">
        <v>313</v>
      </c>
      <c r="F26" s="4">
        <v>1842</v>
      </c>
      <c r="G26" s="3" t="s">
        <v>37</v>
      </c>
      <c r="H26" s="3" t="s">
        <v>38</v>
      </c>
      <c r="I26" s="5" t="str">
        <f t="shared" si="0"/>
        <v>CAMION</v>
      </c>
      <c r="J26" s="4">
        <v>1</v>
      </c>
      <c r="K26" s="4">
        <v>1</v>
      </c>
      <c r="L26" s="4">
        <v>1</v>
      </c>
    </row>
    <row r="27" spans="1:12" x14ac:dyDescent="0.25">
      <c r="A27" s="4">
        <v>1588</v>
      </c>
      <c r="B27" s="4">
        <v>14</v>
      </c>
      <c r="C27" s="4">
        <v>5</v>
      </c>
      <c r="D27" s="4">
        <v>12</v>
      </c>
      <c r="E27" s="4">
        <v>313</v>
      </c>
      <c r="F27" s="4">
        <v>1558</v>
      </c>
      <c r="G27" s="3" t="s">
        <v>39</v>
      </c>
      <c r="H27" s="3" t="s">
        <v>39</v>
      </c>
      <c r="I27" s="5" t="str">
        <f t="shared" si="0"/>
        <v>CARBONATO</v>
      </c>
      <c r="J27" s="4">
        <v>1</v>
      </c>
      <c r="K27" s="4">
        <v>1</v>
      </c>
      <c r="L27" s="4">
        <v>1</v>
      </c>
    </row>
    <row r="28" spans="1:12" x14ac:dyDescent="0.25">
      <c r="A28" s="4">
        <v>1588</v>
      </c>
      <c r="B28" s="4">
        <v>14</v>
      </c>
      <c r="C28" s="4">
        <v>5</v>
      </c>
      <c r="D28" s="4">
        <v>12</v>
      </c>
      <c r="E28" s="4">
        <v>313</v>
      </c>
      <c r="F28" s="4">
        <v>1794</v>
      </c>
      <c r="G28" s="3" t="s">
        <v>40</v>
      </c>
      <c r="H28" s="3" t="s">
        <v>40</v>
      </c>
      <c r="I28" s="5" t="str">
        <f t="shared" si="0"/>
        <v>CIPERMETRINA</v>
      </c>
      <c r="J28" s="4">
        <v>1</v>
      </c>
      <c r="K28" s="4">
        <v>1</v>
      </c>
      <c r="L28" s="4">
        <v>1</v>
      </c>
    </row>
    <row r="29" spans="1:12" x14ac:dyDescent="0.25">
      <c r="A29" s="4">
        <v>1588</v>
      </c>
      <c r="B29" s="4">
        <v>14</v>
      </c>
      <c r="C29" s="4">
        <v>3</v>
      </c>
      <c r="D29" s="4">
        <v>12</v>
      </c>
      <c r="E29" s="4">
        <v>313</v>
      </c>
      <c r="F29" s="4">
        <v>1579</v>
      </c>
      <c r="G29" s="3" t="s">
        <v>41</v>
      </c>
      <c r="H29" s="3" t="s">
        <v>41</v>
      </c>
      <c r="I29" s="5" t="str">
        <f t="shared" si="0"/>
        <v>CLORO</v>
      </c>
      <c r="J29" s="4">
        <v>1</v>
      </c>
      <c r="K29" s="4">
        <v>1</v>
      </c>
      <c r="L29" s="4">
        <v>1</v>
      </c>
    </row>
    <row r="30" spans="1:12" x14ac:dyDescent="0.25">
      <c r="A30" s="4">
        <v>1588</v>
      </c>
      <c r="B30" s="4">
        <v>14</v>
      </c>
      <c r="C30" s="4">
        <v>5</v>
      </c>
      <c r="D30" s="4">
        <v>12</v>
      </c>
      <c r="E30" s="4">
        <v>313</v>
      </c>
      <c r="F30" s="4">
        <v>1558</v>
      </c>
      <c r="G30" s="3" t="s">
        <v>42</v>
      </c>
      <c r="H30" s="3" t="s">
        <v>42</v>
      </c>
      <c r="I30" s="5" t="str">
        <f t="shared" si="0"/>
        <v>COLINA</v>
      </c>
      <c r="J30" s="4">
        <v>1</v>
      </c>
      <c r="K30" s="4">
        <v>1</v>
      </c>
      <c r="L30" s="4">
        <v>1</v>
      </c>
    </row>
    <row r="31" spans="1:12" x14ac:dyDescent="0.25">
      <c r="A31" s="4">
        <v>1588</v>
      </c>
      <c r="B31" s="4">
        <v>2</v>
      </c>
      <c r="C31" s="4">
        <v>5</v>
      </c>
      <c r="D31" s="4">
        <v>12</v>
      </c>
      <c r="E31" s="4">
        <v>313</v>
      </c>
      <c r="F31" s="4">
        <v>2065</v>
      </c>
      <c r="G31" s="3" t="s">
        <v>43</v>
      </c>
      <c r="H31" s="3" t="s">
        <v>43</v>
      </c>
      <c r="I31" s="5" t="str">
        <f t="shared" si="0"/>
        <v>COMEDERO INFANTIL</v>
      </c>
      <c r="J31" s="4">
        <v>1</v>
      </c>
      <c r="K31" s="4">
        <v>1</v>
      </c>
      <c r="L31" s="4">
        <v>1</v>
      </c>
    </row>
    <row r="32" spans="1:12" x14ac:dyDescent="0.25">
      <c r="A32" s="4">
        <v>1588</v>
      </c>
      <c r="B32" s="4">
        <v>14</v>
      </c>
      <c r="C32" s="4">
        <v>5</v>
      </c>
      <c r="D32" s="4">
        <v>12</v>
      </c>
      <c r="E32" s="4">
        <v>313</v>
      </c>
      <c r="F32" s="4">
        <v>1549</v>
      </c>
      <c r="G32" s="3" t="s">
        <v>44</v>
      </c>
      <c r="H32" s="3" t="s">
        <v>44</v>
      </c>
      <c r="I32" s="5" t="str">
        <f t="shared" si="0"/>
        <v>CUADRUPLE</v>
      </c>
      <c r="J32" s="4">
        <v>1</v>
      </c>
      <c r="K32" s="4">
        <v>1</v>
      </c>
      <c r="L32" s="4">
        <v>1</v>
      </c>
    </row>
    <row r="33" spans="1:12" x14ac:dyDescent="0.25">
      <c r="A33" s="4">
        <v>1588</v>
      </c>
      <c r="B33" s="4">
        <v>1</v>
      </c>
      <c r="C33" s="4">
        <v>5</v>
      </c>
      <c r="D33" s="4">
        <v>12</v>
      </c>
      <c r="E33" s="4">
        <v>313</v>
      </c>
      <c r="F33" s="4">
        <v>2405</v>
      </c>
      <c r="G33" s="3" t="s">
        <v>45</v>
      </c>
      <c r="H33" s="3" t="s">
        <v>45</v>
      </c>
      <c r="I33" s="5" t="str">
        <f t="shared" si="0"/>
        <v>CUBETA DE 30 UNIDADES</v>
      </c>
      <c r="J33" s="4">
        <v>1</v>
      </c>
      <c r="K33" s="4">
        <v>1</v>
      </c>
      <c r="L33" s="4">
        <v>1</v>
      </c>
    </row>
    <row r="34" spans="1:12" x14ac:dyDescent="0.25">
      <c r="A34" s="4">
        <v>1588</v>
      </c>
      <c r="B34" s="4">
        <v>14</v>
      </c>
      <c r="C34" s="4">
        <v>3</v>
      </c>
      <c r="D34" s="4">
        <v>12</v>
      </c>
      <c r="E34" s="4">
        <v>313</v>
      </c>
      <c r="F34" s="4">
        <v>1623</v>
      </c>
      <c r="G34" s="3" t="s">
        <v>46</v>
      </c>
      <c r="H34" s="3" t="s">
        <v>46</v>
      </c>
      <c r="I34" s="5" t="str">
        <f t="shared" si="0"/>
        <v>CUBETAS</v>
      </c>
      <c r="J34" s="4">
        <v>1</v>
      </c>
      <c r="K34" s="4">
        <v>1</v>
      </c>
      <c r="L34" s="4">
        <v>1</v>
      </c>
    </row>
    <row r="35" spans="1:12" x14ac:dyDescent="0.25">
      <c r="A35" s="4">
        <v>1588</v>
      </c>
      <c r="B35" s="4">
        <v>14</v>
      </c>
      <c r="C35" s="4">
        <v>5</v>
      </c>
      <c r="D35" s="4">
        <v>12</v>
      </c>
      <c r="E35" s="4">
        <v>313</v>
      </c>
      <c r="F35" s="4">
        <v>1623</v>
      </c>
      <c r="G35" s="3" t="s">
        <v>47</v>
      </c>
      <c r="H35" s="3" t="s">
        <v>47</v>
      </c>
      <c r="I35" s="5" t="str">
        <f t="shared" si="0"/>
        <v>CUBETAS 0%</v>
      </c>
      <c r="J35" s="4">
        <v>1</v>
      </c>
      <c r="K35" s="4">
        <v>1</v>
      </c>
      <c r="L35" s="4">
        <v>1</v>
      </c>
    </row>
    <row r="36" spans="1:12" x14ac:dyDescent="0.25">
      <c r="A36" s="4">
        <v>1588</v>
      </c>
      <c r="B36" s="4">
        <v>3</v>
      </c>
      <c r="C36" s="4">
        <v>5</v>
      </c>
      <c r="D36" s="4">
        <v>12</v>
      </c>
      <c r="E36" s="4">
        <v>313</v>
      </c>
      <c r="F36" s="4">
        <v>1646</v>
      </c>
      <c r="G36" s="3" t="s">
        <v>48</v>
      </c>
      <c r="H36" s="3" t="s">
        <v>48</v>
      </c>
      <c r="I36" s="5" t="str">
        <f t="shared" si="0"/>
        <v>CUOTA ASOCIACION</v>
      </c>
      <c r="J36" s="4">
        <v>1</v>
      </c>
      <c r="K36" s="4">
        <v>1</v>
      </c>
      <c r="L36" s="4">
        <v>1</v>
      </c>
    </row>
    <row r="37" spans="1:12" x14ac:dyDescent="0.25">
      <c r="A37" s="4">
        <v>1588</v>
      </c>
      <c r="B37" s="4">
        <v>14</v>
      </c>
      <c r="C37" s="4">
        <v>3</v>
      </c>
      <c r="D37" s="4">
        <v>12</v>
      </c>
      <c r="E37" s="4">
        <v>313</v>
      </c>
      <c r="F37" s="4">
        <v>1554</v>
      </c>
      <c r="G37" s="3" t="s">
        <v>49</v>
      </c>
      <c r="H37" s="3" t="s">
        <v>49</v>
      </c>
      <c r="I37" s="5" t="str">
        <f t="shared" si="0"/>
        <v>DIESEL</v>
      </c>
      <c r="J37" s="4">
        <v>1</v>
      </c>
      <c r="K37" s="4">
        <v>1</v>
      </c>
      <c r="L37" s="4">
        <v>1</v>
      </c>
    </row>
    <row r="38" spans="1:12" x14ac:dyDescent="0.25">
      <c r="A38" s="4">
        <v>1588</v>
      </c>
      <c r="B38" s="4">
        <v>14</v>
      </c>
      <c r="C38" s="4">
        <v>5</v>
      </c>
      <c r="D38" s="4">
        <v>12</v>
      </c>
      <c r="E38" s="4">
        <v>313</v>
      </c>
      <c r="F38" s="4">
        <v>2364</v>
      </c>
      <c r="G38" s="3" t="s">
        <v>50</v>
      </c>
      <c r="H38" s="3" t="s">
        <v>50</v>
      </c>
      <c r="I38" s="5" t="str">
        <f t="shared" si="0"/>
        <v>DOXICICLINA</v>
      </c>
      <c r="J38" s="4">
        <v>1</v>
      </c>
      <c r="K38" s="4">
        <v>1</v>
      </c>
      <c r="L38" s="4">
        <v>1</v>
      </c>
    </row>
    <row r="39" spans="1:12" x14ac:dyDescent="0.25">
      <c r="A39" s="4">
        <v>1588</v>
      </c>
      <c r="B39" s="4">
        <v>13</v>
      </c>
      <c r="C39" s="4">
        <v>3</v>
      </c>
      <c r="D39" s="4">
        <v>12</v>
      </c>
      <c r="E39" s="4">
        <v>313</v>
      </c>
      <c r="F39" s="4">
        <v>1555</v>
      </c>
      <c r="G39" s="3" t="s">
        <v>51</v>
      </c>
      <c r="H39" s="3" t="s">
        <v>51</v>
      </c>
      <c r="I39" s="5" t="str">
        <f t="shared" si="0"/>
        <v>ECO</v>
      </c>
      <c r="J39" s="4">
        <v>1</v>
      </c>
      <c r="K39" s="4">
        <v>1</v>
      </c>
      <c r="L39" s="4">
        <v>1</v>
      </c>
    </row>
    <row r="40" spans="1:12" x14ac:dyDescent="0.25">
      <c r="A40" s="4">
        <v>1588</v>
      </c>
      <c r="B40" s="4">
        <v>14</v>
      </c>
      <c r="C40" s="4">
        <v>5</v>
      </c>
      <c r="D40" s="4">
        <v>12</v>
      </c>
      <c r="E40" s="4">
        <v>313</v>
      </c>
      <c r="F40" s="4">
        <v>1558</v>
      </c>
      <c r="G40" s="3" t="s">
        <v>52</v>
      </c>
      <c r="H40" s="3" t="s">
        <v>52</v>
      </c>
      <c r="I40" s="5" t="str">
        <f t="shared" si="0"/>
        <v>ENZIMAS</v>
      </c>
      <c r="J40" s="4">
        <v>1</v>
      </c>
      <c r="K40" s="4">
        <v>1</v>
      </c>
      <c r="L40" s="4">
        <v>1</v>
      </c>
    </row>
    <row r="41" spans="1:12" x14ac:dyDescent="0.25">
      <c r="A41" s="4">
        <v>1588</v>
      </c>
      <c r="B41" s="4">
        <v>14</v>
      </c>
      <c r="C41" s="4">
        <v>5</v>
      </c>
      <c r="D41" s="4">
        <v>12</v>
      </c>
      <c r="E41" s="4">
        <v>313</v>
      </c>
      <c r="F41" s="4">
        <v>1600</v>
      </c>
      <c r="G41" s="3" t="s">
        <v>53</v>
      </c>
      <c r="H41" s="3" t="s">
        <v>53</v>
      </c>
      <c r="I41" s="5" t="str">
        <f t="shared" si="0"/>
        <v>EURAVIT</v>
      </c>
      <c r="J41" s="4">
        <v>1</v>
      </c>
      <c r="K41" s="4">
        <v>1</v>
      </c>
      <c r="L41" s="4">
        <v>1</v>
      </c>
    </row>
    <row r="42" spans="1:12" x14ac:dyDescent="0.25">
      <c r="A42" s="4">
        <v>1588</v>
      </c>
      <c r="B42" s="4">
        <v>3</v>
      </c>
      <c r="C42" s="4">
        <v>5</v>
      </c>
      <c r="D42" s="4">
        <v>12</v>
      </c>
      <c r="E42" s="4">
        <v>313</v>
      </c>
      <c r="F42" s="4">
        <v>1629</v>
      </c>
      <c r="G42" s="3" t="s">
        <v>54</v>
      </c>
      <c r="H42" s="3" t="s">
        <v>54</v>
      </c>
      <c r="I42" s="5" t="str">
        <f t="shared" si="0"/>
        <v>EXAMENES PERSONAL</v>
      </c>
      <c r="J42" s="4">
        <v>1</v>
      </c>
      <c r="K42" s="4">
        <v>1</v>
      </c>
      <c r="L42" s="4">
        <v>1</v>
      </c>
    </row>
    <row r="43" spans="1:12" x14ac:dyDescent="0.25">
      <c r="A43" s="4">
        <v>1588</v>
      </c>
      <c r="B43" s="4">
        <v>3</v>
      </c>
      <c r="C43" s="4">
        <v>3</v>
      </c>
      <c r="D43" s="4">
        <v>12</v>
      </c>
      <c r="E43" s="4">
        <v>313</v>
      </c>
      <c r="F43" s="4">
        <v>1590</v>
      </c>
      <c r="G43" s="3" t="s">
        <v>55</v>
      </c>
      <c r="H43" s="3" t="s">
        <v>55</v>
      </c>
      <c r="I43" s="5" t="str">
        <f t="shared" si="0"/>
        <v>FACTURACION ELECTRONICA</v>
      </c>
      <c r="J43" s="4">
        <v>1</v>
      </c>
      <c r="K43" s="4">
        <v>1</v>
      </c>
      <c r="L43" s="4">
        <v>1</v>
      </c>
    </row>
    <row r="44" spans="1:12" x14ac:dyDescent="0.25">
      <c r="A44" s="4">
        <v>1588</v>
      </c>
      <c r="B44" s="4">
        <v>14</v>
      </c>
      <c r="C44" s="4">
        <v>5</v>
      </c>
      <c r="D44" s="4">
        <v>12</v>
      </c>
      <c r="E44" s="4">
        <v>313</v>
      </c>
      <c r="F44" s="4">
        <v>1558</v>
      </c>
      <c r="G44" s="3" t="s">
        <v>56</v>
      </c>
      <c r="H44" s="3" t="s">
        <v>56</v>
      </c>
      <c r="I44" s="5" t="str">
        <f t="shared" si="0"/>
        <v>FOSFATO</v>
      </c>
      <c r="J44" s="4">
        <v>1</v>
      </c>
      <c r="K44" s="4">
        <v>1</v>
      </c>
      <c r="L44" s="4">
        <v>1</v>
      </c>
    </row>
    <row r="45" spans="1:12" x14ac:dyDescent="0.25">
      <c r="A45" s="4">
        <v>1588</v>
      </c>
      <c r="B45" s="4">
        <v>1</v>
      </c>
      <c r="C45" s="4">
        <v>3</v>
      </c>
      <c r="D45" s="4">
        <v>12</v>
      </c>
      <c r="E45" s="4">
        <v>313</v>
      </c>
      <c r="F45" s="4">
        <v>1844</v>
      </c>
      <c r="G45" s="3" t="s">
        <v>57</v>
      </c>
      <c r="H45" s="3" t="s">
        <v>58</v>
      </c>
      <c r="I45" s="5" t="str">
        <f t="shared" si="0"/>
        <v>FURGON</v>
      </c>
      <c r="J45" s="4">
        <v>1</v>
      </c>
      <c r="K45" s="4">
        <v>1</v>
      </c>
      <c r="L45" s="4">
        <v>1</v>
      </c>
    </row>
    <row r="46" spans="1:12" x14ac:dyDescent="0.25">
      <c r="A46" s="4">
        <v>1588</v>
      </c>
      <c r="B46" s="4">
        <v>14</v>
      </c>
      <c r="C46" s="4">
        <v>5</v>
      </c>
      <c r="D46" s="4">
        <v>12</v>
      </c>
      <c r="E46" s="4">
        <v>313</v>
      </c>
      <c r="F46" s="4">
        <v>1549</v>
      </c>
      <c r="G46" s="3" t="s">
        <v>59</v>
      </c>
      <c r="H46" s="3" t="s">
        <v>59</v>
      </c>
      <c r="I46" s="5" t="str">
        <f t="shared" si="0"/>
        <v>HEPATITIS 4 &amp; 8</v>
      </c>
      <c r="J46" s="4">
        <v>1</v>
      </c>
      <c r="K46" s="4">
        <v>1</v>
      </c>
      <c r="L46" s="4">
        <v>1</v>
      </c>
    </row>
    <row r="47" spans="1:12" x14ac:dyDescent="0.25">
      <c r="A47" s="4">
        <v>1588</v>
      </c>
      <c r="B47" s="4">
        <v>14</v>
      </c>
      <c r="C47" s="4">
        <v>5</v>
      </c>
      <c r="D47" s="4">
        <v>12</v>
      </c>
      <c r="E47" s="4">
        <v>313</v>
      </c>
      <c r="F47" s="4">
        <v>1549</v>
      </c>
      <c r="G47" s="3" t="s">
        <v>60</v>
      </c>
      <c r="H47" s="3" t="s">
        <v>60</v>
      </c>
      <c r="I47" s="5" t="str">
        <f t="shared" si="0"/>
        <v>HIPRAVIAR SHS</v>
      </c>
      <c r="J47" s="4">
        <v>1</v>
      </c>
      <c r="K47" s="4">
        <v>1</v>
      </c>
      <c r="L47" s="4">
        <v>1</v>
      </c>
    </row>
    <row r="48" spans="1:12" x14ac:dyDescent="0.25">
      <c r="A48" s="4">
        <v>1588</v>
      </c>
      <c r="B48" s="4">
        <v>3</v>
      </c>
      <c r="C48" s="4">
        <v>5</v>
      </c>
      <c r="D48" s="4">
        <v>12</v>
      </c>
      <c r="E48" s="4">
        <v>313</v>
      </c>
      <c r="F48" s="4">
        <v>2053</v>
      </c>
      <c r="G48" s="3" t="s">
        <v>61</v>
      </c>
      <c r="H48" s="3" t="s">
        <v>61</v>
      </c>
      <c r="I48" s="5" t="str">
        <f t="shared" si="0"/>
        <v>HOSPEDAJE 0%</v>
      </c>
      <c r="J48" s="4">
        <v>1</v>
      </c>
      <c r="K48" s="4">
        <v>1</v>
      </c>
      <c r="L48" s="4">
        <v>1</v>
      </c>
    </row>
    <row r="49" spans="1:12" x14ac:dyDescent="0.25">
      <c r="A49" s="4">
        <v>1588</v>
      </c>
      <c r="B49" s="4">
        <v>1</v>
      </c>
      <c r="C49" s="4">
        <v>5</v>
      </c>
      <c r="D49" s="4">
        <v>12</v>
      </c>
      <c r="E49" s="4">
        <v>313</v>
      </c>
      <c r="F49" s="4">
        <v>2097</v>
      </c>
      <c r="G49" s="3" t="s">
        <v>62</v>
      </c>
      <c r="H49" s="3" t="s">
        <v>62</v>
      </c>
      <c r="I49" s="5" t="str">
        <f t="shared" si="0"/>
        <v>HUIEVOS CRIOLLOS</v>
      </c>
      <c r="J49" s="4">
        <v>1</v>
      </c>
      <c r="K49" s="4">
        <v>1</v>
      </c>
      <c r="L49" s="4">
        <v>1</v>
      </c>
    </row>
    <row r="50" spans="1:12" x14ac:dyDescent="0.25">
      <c r="A50" s="4">
        <v>1588</v>
      </c>
      <c r="B50" s="4">
        <v>3</v>
      </c>
      <c r="C50" s="4">
        <v>3</v>
      </c>
      <c r="D50" s="4">
        <v>12</v>
      </c>
      <c r="E50" s="4">
        <v>313</v>
      </c>
      <c r="F50" s="4">
        <v>1560</v>
      </c>
      <c r="G50" s="3" t="s">
        <v>63</v>
      </c>
      <c r="H50" s="3" t="s">
        <v>63</v>
      </c>
      <c r="I50" s="5" t="str">
        <f t="shared" si="0"/>
        <v>IMPRESION DE ETIQUETAS</v>
      </c>
      <c r="J50" s="4">
        <v>1</v>
      </c>
      <c r="K50" s="4">
        <v>1</v>
      </c>
      <c r="L50" s="4">
        <v>1</v>
      </c>
    </row>
    <row r="51" spans="1:12" x14ac:dyDescent="0.25">
      <c r="A51" s="4">
        <v>1588</v>
      </c>
      <c r="B51" s="4">
        <v>1</v>
      </c>
      <c r="C51" s="4">
        <v>5</v>
      </c>
      <c r="D51" s="4">
        <v>12</v>
      </c>
      <c r="E51" s="4">
        <v>313</v>
      </c>
      <c r="F51" s="4">
        <v>2097</v>
      </c>
      <c r="G51" s="3" t="s">
        <v>64</v>
      </c>
      <c r="H51" s="3" t="s">
        <v>64</v>
      </c>
      <c r="I51" s="5" t="str">
        <f t="shared" si="0"/>
        <v>INCUBACION DE HUEVO</v>
      </c>
      <c r="J51" s="4">
        <v>1</v>
      </c>
      <c r="K51" s="4">
        <v>1</v>
      </c>
      <c r="L51" s="4">
        <v>1</v>
      </c>
    </row>
    <row r="52" spans="1:12" x14ac:dyDescent="0.25">
      <c r="A52" s="4">
        <v>1588</v>
      </c>
      <c r="B52" s="4">
        <v>3</v>
      </c>
      <c r="C52" s="4">
        <v>3</v>
      </c>
      <c r="D52" s="4">
        <v>12</v>
      </c>
      <c r="E52" s="4">
        <v>313</v>
      </c>
      <c r="F52" s="4">
        <v>1575</v>
      </c>
      <c r="G52" s="3" t="s">
        <v>65</v>
      </c>
      <c r="H52" s="3" t="s">
        <v>65</v>
      </c>
      <c r="I52" s="5" t="str">
        <f t="shared" si="0"/>
        <v>internet</v>
      </c>
      <c r="J52" s="4">
        <v>1</v>
      </c>
      <c r="K52" s="4">
        <v>1</v>
      </c>
      <c r="L52" s="4">
        <v>1</v>
      </c>
    </row>
    <row r="53" spans="1:12" x14ac:dyDescent="0.25">
      <c r="A53" s="4">
        <v>1588</v>
      </c>
      <c r="B53" s="4">
        <v>14</v>
      </c>
      <c r="C53" s="4">
        <v>5</v>
      </c>
      <c r="D53" s="4">
        <v>12</v>
      </c>
      <c r="E53" s="4">
        <v>313</v>
      </c>
      <c r="F53" s="4">
        <v>1794</v>
      </c>
      <c r="G53" s="3" t="s">
        <v>66</v>
      </c>
      <c r="H53" s="3" t="s">
        <v>66</v>
      </c>
      <c r="I53" s="5" t="str">
        <f t="shared" si="0"/>
        <v>IODINE</v>
      </c>
      <c r="J53" s="4">
        <v>1</v>
      </c>
      <c r="K53" s="4">
        <v>1</v>
      </c>
      <c r="L53" s="4">
        <v>1</v>
      </c>
    </row>
    <row r="54" spans="1:12" x14ac:dyDescent="0.25">
      <c r="A54" s="4">
        <v>1588</v>
      </c>
      <c r="B54" s="4">
        <v>1</v>
      </c>
      <c r="C54" s="4">
        <v>5</v>
      </c>
      <c r="D54" s="4">
        <v>12</v>
      </c>
      <c r="E54" s="4">
        <v>313</v>
      </c>
      <c r="F54" s="4">
        <v>1867</v>
      </c>
      <c r="G54" s="3" t="s">
        <v>67</v>
      </c>
      <c r="H54" s="3" t="s">
        <v>67</v>
      </c>
      <c r="I54" s="5" t="str">
        <f t="shared" si="0"/>
        <v>JERINGA</v>
      </c>
      <c r="J54" s="4">
        <v>1</v>
      </c>
      <c r="K54" s="4">
        <v>1</v>
      </c>
      <c r="L54" s="4">
        <v>1</v>
      </c>
    </row>
    <row r="55" spans="1:12" x14ac:dyDescent="0.25">
      <c r="A55" s="4">
        <v>1588</v>
      </c>
      <c r="B55" s="4">
        <v>3</v>
      </c>
      <c r="C55" s="4">
        <v>5</v>
      </c>
      <c r="D55" s="4">
        <v>12</v>
      </c>
      <c r="E55" s="4">
        <v>313</v>
      </c>
      <c r="F55" s="4">
        <v>1570</v>
      </c>
      <c r="G55" s="3" t="s">
        <v>68</v>
      </c>
      <c r="H55" s="3" t="s">
        <v>68</v>
      </c>
      <c r="I55" s="5" t="str">
        <f t="shared" si="0"/>
        <v>lavada de vehiculo 0%</v>
      </c>
      <c r="J55" s="4">
        <v>1</v>
      </c>
      <c r="K55" s="4">
        <v>1</v>
      </c>
      <c r="L55" s="4">
        <v>1</v>
      </c>
    </row>
    <row r="56" spans="1:12" x14ac:dyDescent="0.25">
      <c r="A56" s="4">
        <v>1588</v>
      </c>
      <c r="B56" s="4">
        <v>3</v>
      </c>
      <c r="C56" s="4">
        <v>3</v>
      </c>
      <c r="D56" s="4">
        <v>12</v>
      </c>
      <c r="E56" s="4">
        <v>313</v>
      </c>
      <c r="F56" s="4">
        <v>1571</v>
      </c>
      <c r="G56" s="3" t="s">
        <v>69</v>
      </c>
      <c r="H56" s="3" t="s">
        <v>69</v>
      </c>
      <c r="I56" s="5" t="str">
        <f t="shared" si="0"/>
        <v>LAVADA VEHICULO 12%</v>
      </c>
      <c r="J56" s="4">
        <v>1</v>
      </c>
      <c r="K56" s="4">
        <v>1</v>
      </c>
      <c r="L56" s="4">
        <v>1</v>
      </c>
    </row>
    <row r="57" spans="1:12" x14ac:dyDescent="0.25">
      <c r="A57" s="4">
        <v>1588</v>
      </c>
      <c r="B57" s="4">
        <v>3</v>
      </c>
      <c r="C57" s="4">
        <v>6</v>
      </c>
      <c r="D57" s="4">
        <v>12</v>
      </c>
      <c r="E57" s="4">
        <v>313</v>
      </c>
      <c r="F57" s="4">
        <v>2025</v>
      </c>
      <c r="G57" s="3" t="s">
        <v>70</v>
      </c>
      <c r="H57" s="3" t="s">
        <v>70</v>
      </c>
      <c r="I57" s="5" t="str">
        <f t="shared" si="0"/>
        <v>LOGISTICA</v>
      </c>
      <c r="J57" s="4">
        <v>1</v>
      </c>
      <c r="K57" s="4">
        <v>1</v>
      </c>
      <c r="L57" s="4">
        <v>1</v>
      </c>
    </row>
    <row r="58" spans="1:12" x14ac:dyDescent="0.25">
      <c r="A58" s="4">
        <v>1588</v>
      </c>
      <c r="B58" s="4">
        <v>14</v>
      </c>
      <c r="C58" s="4">
        <v>3</v>
      </c>
      <c r="D58" s="4">
        <v>12</v>
      </c>
      <c r="E58" s="4">
        <v>313</v>
      </c>
      <c r="F58" s="4">
        <v>1594</v>
      </c>
      <c r="G58" s="3" t="s">
        <v>71</v>
      </c>
      <c r="H58" s="3" t="s">
        <v>71</v>
      </c>
      <c r="I58" s="5" t="str">
        <f t="shared" si="0"/>
        <v>LOGOS</v>
      </c>
      <c r="J58" s="4">
        <v>1</v>
      </c>
      <c r="K58" s="4">
        <v>1</v>
      </c>
      <c r="L58" s="4">
        <v>1</v>
      </c>
    </row>
    <row r="59" spans="1:12" x14ac:dyDescent="0.25">
      <c r="A59" s="4">
        <v>1588</v>
      </c>
      <c r="B59" s="4">
        <v>3</v>
      </c>
      <c r="C59" s="4">
        <v>5</v>
      </c>
      <c r="D59" s="4">
        <v>12</v>
      </c>
      <c r="E59" s="4">
        <v>313</v>
      </c>
      <c r="F59" s="4">
        <v>1577</v>
      </c>
      <c r="G59" s="3" t="s">
        <v>72</v>
      </c>
      <c r="H59" s="3" t="s">
        <v>72</v>
      </c>
      <c r="I59" s="5" t="str">
        <f t="shared" si="0"/>
        <v>LUZ</v>
      </c>
      <c r="J59" s="4">
        <v>1</v>
      </c>
      <c r="K59" s="4">
        <v>1</v>
      </c>
      <c r="L59" s="4">
        <v>1</v>
      </c>
    </row>
    <row r="60" spans="1:12" x14ac:dyDescent="0.25">
      <c r="A60" s="4">
        <v>1588</v>
      </c>
      <c r="B60" s="4">
        <v>14</v>
      </c>
      <c r="C60" s="4">
        <v>5</v>
      </c>
      <c r="D60" s="4">
        <v>12</v>
      </c>
      <c r="E60" s="4">
        <v>313</v>
      </c>
      <c r="F60" s="4">
        <v>1558</v>
      </c>
      <c r="G60" s="3" t="s">
        <v>73</v>
      </c>
      <c r="H60" s="3" t="s">
        <v>73</v>
      </c>
      <c r="I60" s="5" t="str">
        <f t="shared" si="0"/>
        <v>MAIZ</v>
      </c>
      <c r="J60" s="4">
        <v>1</v>
      </c>
      <c r="K60" s="4">
        <v>1</v>
      </c>
      <c r="L60" s="4">
        <v>1</v>
      </c>
    </row>
    <row r="61" spans="1:12" x14ac:dyDescent="0.25">
      <c r="A61" s="4">
        <v>1588</v>
      </c>
      <c r="B61" s="4">
        <v>3</v>
      </c>
      <c r="C61" s="4">
        <v>5</v>
      </c>
      <c r="D61" s="4">
        <v>12</v>
      </c>
      <c r="E61" s="4">
        <v>313</v>
      </c>
      <c r="F61" s="4">
        <v>1749</v>
      </c>
      <c r="G61" s="3" t="s">
        <v>74</v>
      </c>
      <c r="H61" s="3" t="s">
        <v>74</v>
      </c>
      <c r="I61" s="5" t="str">
        <f t="shared" si="0"/>
        <v>MANTENIMIENTO DE GALPON</v>
      </c>
      <c r="J61" s="4">
        <v>1</v>
      </c>
      <c r="K61" s="4">
        <v>1</v>
      </c>
      <c r="L61" s="4">
        <v>1</v>
      </c>
    </row>
    <row r="62" spans="1:12" x14ac:dyDescent="0.25">
      <c r="A62" s="4">
        <v>1588</v>
      </c>
      <c r="B62" s="4">
        <v>3</v>
      </c>
      <c r="C62" s="4">
        <v>5</v>
      </c>
      <c r="D62" s="4">
        <v>12</v>
      </c>
      <c r="E62" s="4">
        <v>313</v>
      </c>
      <c r="F62" s="4">
        <v>1750</v>
      </c>
      <c r="G62" s="3" t="s">
        <v>75</v>
      </c>
      <c r="H62" s="3" t="s">
        <v>75</v>
      </c>
      <c r="I62" s="5" t="str">
        <f t="shared" si="0"/>
        <v>Mantenimiento de Galpón Agrícola</v>
      </c>
      <c r="J62" s="4">
        <v>1</v>
      </c>
      <c r="K62" s="4">
        <v>1</v>
      </c>
      <c r="L62" s="4">
        <v>1</v>
      </c>
    </row>
    <row r="63" spans="1:12" x14ac:dyDescent="0.25">
      <c r="A63" s="4">
        <v>1588</v>
      </c>
      <c r="B63" s="4">
        <v>14</v>
      </c>
      <c r="C63" s="4">
        <v>3</v>
      </c>
      <c r="D63" s="4">
        <v>12</v>
      </c>
      <c r="E63" s="4">
        <v>313</v>
      </c>
      <c r="F63" s="4">
        <v>1573</v>
      </c>
      <c r="G63" s="3" t="s">
        <v>76</v>
      </c>
      <c r="H63" s="3" t="s">
        <v>76</v>
      </c>
      <c r="I63" s="5" t="str">
        <f t="shared" si="0"/>
        <v>MASCARILLAS</v>
      </c>
      <c r="J63" s="4">
        <v>1</v>
      </c>
      <c r="K63" s="4">
        <v>1</v>
      </c>
      <c r="L63" s="4">
        <v>1</v>
      </c>
    </row>
    <row r="64" spans="1:12" x14ac:dyDescent="0.25">
      <c r="A64" s="4">
        <v>1588</v>
      </c>
      <c r="B64" s="4">
        <v>14</v>
      </c>
      <c r="C64" s="4">
        <v>5</v>
      </c>
      <c r="D64" s="4">
        <v>12</v>
      </c>
      <c r="E64" s="4">
        <v>313</v>
      </c>
      <c r="F64" s="4">
        <v>1558</v>
      </c>
      <c r="G64" s="3" t="s">
        <v>77</v>
      </c>
      <c r="H64" s="3" t="s">
        <v>77</v>
      </c>
      <c r="I64" s="5" t="str">
        <f t="shared" si="0"/>
        <v>METIONINA</v>
      </c>
      <c r="J64" s="4">
        <v>1</v>
      </c>
      <c r="K64" s="4">
        <v>1</v>
      </c>
      <c r="L64" s="4">
        <v>1</v>
      </c>
    </row>
    <row r="65" spans="1:12" x14ac:dyDescent="0.25">
      <c r="A65" s="4">
        <v>1588</v>
      </c>
      <c r="B65" s="4">
        <v>14</v>
      </c>
      <c r="C65" s="4">
        <v>5</v>
      </c>
      <c r="D65" s="4">
        <v>12</v>
      </c>
      <c r="E65" s="4">
        <v>313</v>
      </c>
      <c r="F65" s="4">
        <v>1549</v>
      </c>
      <c r="G65" s="3" t="s">
        <v>78</v>
      </c>
      <c r="H65" s="3" t="s">
        <v>78</v>
      </c>
      <c r="I65" s="5" t="str">
        <f t="shared" si="0"/>
        <v>NEWCASTLE BRONQUITIS</v>
      </c>
      <c r="J65" s="4">
        <v>1</v>
      </c>
      <c r="K65" s="4">
        <v>1</v>
      </c>
      <c r="L65" s="4">
        <v>1</v>
      </c>
    </row>
    <row r="66" spans="1:12" x14ac:dyDescent="0.25">
      <c r="A66" s="4">
        <v>1588</v>
      </c>
      <c r="B66" s="4">
        <v>14</v>
      </c>
      <c r="C66" s="4">
        <v>5</v>
      </c>
      <c r="D66" s="4">
        <v>12</v>
      </c>
      <c r="E66" s="4">
        <v>313</v>
      </c>
      <c r="F66" s="4">
        <v>1870</v>
      </c>
      <c r="G66" s="3" t="s">
        <v>79</v>
      </c>
      <c r="H66" s="3" t="s">
        <v>79</v>
      </c>
      <c r="I66" s="5" t="str">
        <f t="shared" si="0"/>
        <v>niples</v>
      </c>
      <c r="J66" s="4">
        <v>1</v>
      </c>
      <c r="K66" s="4">
        <v>1</v>
      </c>
      <c r="L66" s="4">
        <v>1</v>
      </c>
    </row>
    <row r="67" spans="1:12" x14ac:dyDescent="0.25">
      <c r="A67" s="4">
        <v>1588</v>
      </c>
      <c r="B67" s="4">
        <v>14</v>
      </c>
      <c r="C67" s="4">
        <v>5</v>
      </c>
      <c r="D67" s="4">
        <v>12</v>
      </c>
      <c r="E67" s="4">
        <v>313</v>
      </c>
      <c r="F67" s="4">
        <v>1551</v>
      </c>
      <c r="G67" s="3" t="s">
        <v>80</v>
      </c>
      <c r="H67" s="3" t="s">
        <v>80</v>
      </c>
      <c r="I67" s="5" t="str">
        <f t="shared" si="0"/>
        <v>NUCLEOS</v>
      </c>
      <c r="J67" s="4">
        <v>1</v>
      </c>
      <c r="K67" s="4">
        <v>1</v>
      </c>
      <c r="L67" s="4">
        <v>1</v>
      </c>
    </row>
    <row r="68" spans="1:12" x14ac:dyDescent="0.25">
      <c r="A68" s="4">
        <v>1588</v>
      </c>
      <c r="B68" s="4">
        <v>14</v>
      </c>
      <c r="C68" s="4">
        <v>5</v>
      </c>
      <c r="D68" s="4">
        <v>12</v>
      </c>
      <c r="E68" s="4">
        <v>313</v>
      </c>
      <c r="F68" s="4">
        <v>1558</v>
      </c>
      <c r="G68" s="3" t="s">
        <v>81</v>
      </c>
      <c r="H68" s="3" t="s">
        <v>81</v>
      </c>
      <c r="I68" s="5" t="str">
        <f t="shared" si="0"/>
        <v>OSMEC</v>
      </c>
      <c r="J68" s="4">
        <v>1</v>
      </c>
      <c r="K68" s="4">
        <v>1</v>
      </c>
      <c r="L68" s="4">
        <v>1</v>
      </c>
    </row>
    <row r="69" spans="1:12" x14ac:dyDescent="0.25">
      <c r="A69" s="4">
        <v>1588</v>
      </c>
      <c r="B69" s="4">
        <v>14</v>
      </c>
      <c r="C69" s="4">
        <v>5</v>
      </c>
      <c r="D69" s="4">
        <v>12</v>
      </c>
      <c r="E69" s="4">
        <v>313</v>
      </c>
      <c r="F69" s="4">
        <v>1794</v>
      </c>
      <c r="G69" s="3" t="s">
        <v>82</v>
      </c>
      <c r="H69" s="3" t="s">
        <v>82</v>
      </c>
      <c r="I69" s="5" t="str">
        <f t="shared" si="0"/>
        <v>OX VIRIN</v>
      </c>
      <c r="J69" s="4">
        <v>1</v>
      </c>
      <c r="K69" s="4">
        <v>1</v>
      </c>
      <c r="L69" s="4">
        <v>1</v>
      </c>
    </row>
    <row r="70" spans="1:12" x14ac:dyDescent="0.25">
      <c r="A70" s="4">
        <v>1588</v>
      </c>
      <c r="B70" s="4">
        <v>3</v>
      </c>
      <c r="C70" s="4">
        <v>5</v>
      </c>
      <c r="D70" s="4">
        <v>12</v>
      </c>
      <c r="E70" s="4">
        <v>313</v>
      </c>
      <c r="F70" s="4">
        <v>2053</v>
      </c>
      <c r="G70" s="3" t="s">
        <v>83</v>
      </c>
      <c r="H70" s="3" t="s">
        <v>83</v>
      </c>
      <c r="I70" s="5" t="str">
        <f t="shared" si="0"/>
        <v>PERMISO ZOOSANITARIO</v>
      </c>
      <c r="J70" s="4">
        <v>1</v>
      </c>
      <c r="K70" s="4">
        <v>1</v>
      </c>
      <c r="L70" s="4">
        <v>1</v>
      </c>
    </row>
    <row r="71" spans="1:12" x14ac:dyDescent="0.25">
      <c r="A71" s="4">
        <v>1588</v>
      </c>
      <c r="B71" s="4">
        <v>14</v>
      </c>
      <c r="C71" s="4">
        <v>5</v>
      </c>
      <c r="D71" s="4">
        <v>12</v>
      </c>
      <c r="E71" s="4">
        <v>313</v>
      </c>
      <c r="F71" s="4">
        <v>1558</v>
      </c>
      <c r="G71" s="3" t="s">
        <v>84</v>
      </c>
      <c r="H71" s="3" t="s">
        <v>84</v>
      </c>
      <c r="I71" s="5" t="str">
        <f t="shared" si="0"/>
        <v>POLIMEVE</v>
      </c>
      <c r="J71" s="4">
        <v>1</v>
      </c>
      <c r="K71" s="4">
        <v>1</v>
      </c>
      <c r="L71" s="4">
        <v>1</v>
      </c>
    </row>
    <row r="72" spans="1:12" x14ac:dyDescent="0.25">
      <c r="A72" s="4">
        <v>1588</v>
      </c>
      <c r="B72" s="4">
        <v>3</v>
      </c>
      <c r="C72" s="4">
        <v>5</v>
      </c>
      <c r="D72" s="4">
        <v>12</v>
      </c>
      <c r="E72" s="4">
        <v>313</v>
      </c>
      <c r="F72" s="4">
        <v>2053</v>
      </c>
      <c r="G72" s="3" t="s">
        <v>85</v>
      </c>
      <c r="H72" s="3" t="s">
        <v>85</v>
      </c>
      <c r="I72" s="5" t="str">
        <f t="shared" si="0"/>
        <v>PREDIO DE CUARENTENA</v>
      </c>
      <c r="J72" s="4">
        <v>1</v>
      </c>
      <c r="K72" s="4">
        <v>1</v>
      </c>
      <c r="L72" s="4">
        <v>1</v>
      </c>
    </row>
    <row r="73" spans="1:12" x14ac:dyDescent="0.25">
      <c r="A73" s="4">
        <v>1588</v>
      </c>
      <c r="B73" s="4">
        <v>14</v>
      </c>
      <c r="C73" s="4">
        <v>5</v>
      </c>
      <c r="D73" s="4">
        <v>12</v>
      </c>
      <c r="E73" s="4">
        <v>313</v>
      </c>
      <c r="F73" s="4">
        <v>1558</v>
      </c>
      <c r="G73" s="3" t="s">
        <v>86</v>
      </c>
      <c r="H73" s="3" t="s">
        <v>86</v>
      </c>
      <c r="I73" s="5" t="str">
        <f t="shared" si="0"/>
        <v>PREMIX BROILER</v>
      </c>
      <c r="J73" s="4">
        <v>1</v>
      </c>
      <c r="K73" s="4">
        <v>1</v>
      </c>
      <c r="L73" s="4">
        <v>1</v>
      </c>
    </row>
    <row r="74" spans="1:12" x14ac:dyDescent="0.25">
      <c r="A74" s="4">
        <v>1588</v>
      </c>
      <c r="B74" s="4">
        <v>14</v>
      </c>
      <c r="C74" s="4">
        <v>5</v>
      </c>
      <c r="D74" s="4">
        <v>12</v>
      </c>
      <c r="E74" s="4">
        <v>313</v>
      </c>
      <c r="F74" s="4">
        <v>1558</v>
      </c>
      <c r="G74" s="3" t="s">
        <v>87</v>
      </c>
      <c r="H74" s="3" t="s">
        <v>87</v>
      </c>
      <c r="I74" s="5" t="str">
        <f t="shared" si="0"/>
        <v>PREMIX POSTURA</v>
      </c>
      <c r="J74" s="4">
        <v>1</v>
      </c>
      <c r="K74" s="4">
        <v>1</v>
      </c>
      <c r="L74" s="4">
        <v>1</v>
      </c>
    </row>
    <row r="75" spans="1:12" x14ac:dyDescent="0.25">
      <c r="A75" s="4">
        <v>1588</v>
      </c>
      <c r="B75" s="4">
        <v>14</v>
      </c>
      <c r="C75" s="4">
        <v>5</v>
      </c>
      <c r="D75" s="4">
        <v>12</v>
      </c>
      <c r="E75" s="4">
        <v>313</v>
      </c>
      <c r="F75" s="4">
        <v>1600</v>
      </c>
      <c r="G75" s="3" t="s">
        <v>88</v>
      </c>
      <c r="H75" s="3" t="s">
        <v>88</v>
      </c>
      <c r="I75" s="5" t="str">
        <f t="shared" si="0"/>
        <v>PROACTIV</v>
      </c>
      <c r="J75" s="4">
        <v>1</v>
      </c>
      <c r="K75" s="4">
        <v>1</v>
      </c>
      <c r="L75" s="4">
        <v>1</v>
      </c>
    </row>
    <row r="76" spans="1:12" x14ac:dyDescent="0.25">
      <c r="A76" s="4">
        <v>1588</v>
      </c>
      <c r="B76" s="4">
        <v>3</v>
      </c>
      <c r="C76" s="4">
        <v>3</v>
      </c>
      <c r="D76" s="4">
        <v>12</v>
      </c>
      <c r="E76" s="4">
        <v>313</v>
      </c>
      <c r="F76" s="4">
        <v>2025</v>
      </c>
      <c r="G76" s="3" t="s">
        <v>89</v>
      </c>
      <c r="H76" s="3" t="s">
        <v>89</v>
      </c>
      <c r="I76" s="5" t="str">
        <f t="shared" si="0"/>
        <v>Registro ambiental</v>
      </c>
      <c r="J76" s="4">
        <v>1</v>
      </c>
      <c r="K76" s="4">
        <v>1</v>
      </c>
      <c r="L76" s="4">
        <v>1</v>
      </c>
    </row>
    <row r="77" spans="1:12" x14ac:dyDescent="0.25">
      <c r="A77" s="4">
        <v>1588</v>
      </c>
      <c r="B77" s="4">
        <v>1</v>
      </c>
      <c r="C77" s="4">
        <v>3</v>
      </c>
      <c r="D77" s="4">
        <v>12</v>
      </c>
      <c r="E77" s="4">
        <v>313</v>
      </c>
      <c r="F77" s="4">
        <v>2025</v>
      </c>
      <c r="G77" s="3" t="s">
        <v>90</v>
      </c>
      <c r="H77" s="3" t="s">
        <v>90</v>
      </c>
      <c r="I77" s="5" t="str">
        <f t="shared" si="0"/>
        <v>REGISTRO AMBIENTAL 12%</v>
      </c>
      <c r="J77" s="4">
        <v>1</v>
      </c>
      <c r="K77" s="4">
        <v>1</v>
      </c>
      <c r="L77" s="4">
        <v>1</v>
      </c>
    </row>
    <row r="78" spans="1:12" x14ac:dyDescent="0.25">
      <c r="A78" s="4">
        <v>1588</v>
      </c>
      <c r="B78" s="4">
        <v>1</v>
      </c>
      <c r="C78" s="4">
        <v>3</v>
      </c>
      <c r="D78" s="4">
        <v>12</v>
      </c>
      <c r="E78" s="4">
        <v>313</v>
      </c>
      <c r="F78" s="4">
        <v>1870</v>
      </c>
      <c r="G78" s="3" t="s">
        <v>91</v>
      </c>
      <c r="H78" s="3" t="s">
        <v>91</v>
      </c>
      <c r="I78" s="5" t="str">
        <f t="shared" si="0"/>
        <v>REPUESTOS PARA NIPLES</v>
      </c>
      <c r="J78" s="4">
        <v>1</v>
      </c>
      <c r="K78" s="4">
        <v>1</v>
      </c>
      <c r="L78" s="4">
        <v>1</v>
      </c>
    </row>
    <row r="79" spans="1:12" x14ac:dyDescent="0.25">
      <c r="A79" s="4">
        <v>1588</v>
      </c>
      <c r="B79" s="4">
        <v>14</v>
      </c>
      <c r="C79" s="4">
        <v>3</v>
      </c>
      <c r="D79" s="4">
        <v>12</v>
      </c>
      <c r="E79" s="4">
        <v>313</v>
      </c>
      <c r="F79" s="4">
        <v>1596</v>
      </c>
      <c r="G79" s="3" t="s">
        <v>92</v>
      </c>
      <c r="H79" s="3" t="s">
        <v>93</v>
      </c>
      <c r="I79" s="5" t="str">
        <f t="shared" si="0"/>
        <v>REPUESTOS VEHICULOS</v>
      </c>
      <c r="J79" s="4">
        <v>1</v>
      </c>
      <c r="K79" s="4">
        <v>1</v>
      </c>
      <c r="L79" s="4">
        <v>1</v>
      </c>
    </row>
    <row r="80" spans="1:12" x14ac:dyDescent="0.25">
      <c r="A80" s="4">
        <v>1588</v>
      </c>
      <c r="B80" s="4">
        <v>14</v>
      </c>
      <c r="C80" s="4">
        <v>5</v>
      </c>
      <c r="D80" s="4">
        <v>12</v>
      </c>
      <c r="E80" s="4">
        <v>313</v>
      </c>
      <c r="F80" s="4">
        <v>1558</v>
      </c>
      <c r="G80" s="3" t="s">
        <v>94</v>
      </c>
      <c r="H80" s="3" t="s">
        <v>94</v>
      </c>
      <c r="I80" s="5" t="str">
        <f t="shared" si="0"/>
        <v>SAL</v>
      </c>
      <c r="J80" s="4">
        <v>1</v>
      </c>
      <c r="K80" s="4">
        <v>1</v>
      </c>
      <c r="L80" s="4">
        <v>1</v>
      </c>
    </row>
    <row r="81" spans="1:12" x14ac:dyDescent="0.25">
      <c r="A81" s="4">
        <v>1588</v>
      </c>
      <c r="B81" s="4">
        <v>3</v>
      </c>
      <c r="C81" s="4">
        <v>3</v>
      </c>
      <c r="D81" s="4">
        <v>12</v>
      </c>
      <c r="E81" s="4">
        <v>313</v>
      </c>
      <c r="F81" s="4">
        <v>2025</v>
      </c>
      <c r="G81" s="3" t="s">
        <v>95</v>
      </c>
      <c r="H81" s="3" t="s">
        <v>95</v>
      </c>
      <c r="I81" s="5" t="str">
        <f t="shared" si="0"/>
        <v>SEGURO ADUANERO</v>
      </c>
      <c r="J81" s="4">
        <v>1</v>
      </c>
      <c r="K81" s="4">
        <v>1</v>
      </c>
      <c r="L81" s="4">
        <v>1</v>
      </c>
    </row>
    <row r="82" spans="1:12" x14ac:dyDescent="0.25">
      <c r="A82" s="4">
        <v>1588</v>
      </c>
      <c r="B82" s="4">
        <v>3</v>
      </c>
      <c r="C82" s="4">
        <v>3</v>
      </c>
      <c r="D82" s="4">
        <v>12</v>
      </c>
      <c r="E82" s="4">
        <v>313</v>
      </c>
      <c r="F82" s="4">
        <v>2025</v>
      </c>
      <c r="G82" s="3" t="s">
        <v>96</v>
      </c>
      <c r="H82" s="3" t="s">
        <v>96</v>
      </c>
      <c r="I82" s="5" t="str">
        <f t="shared" ref="I82:I101" si="1">H82</f>
        <v>SERVICIO DE ENCOMIENDA</v>
      </c>
      <c r="J82" s="4">
        <v>1</v>
      </c>
      <c r="K82" s="4">
        <v>1</v>
      </c>
      <c r="L82" s="4">
        <v>1</v>
      </c>
    </row>
    <row r="83" spans="1:12" x14ac:dyDescent="0.25">
      <c r="A83" s="4">
        <v>1588</v>
      </c>
      <c r="B83" s="4">
        <v>3</v>
      </c>
      <c r="C83" s="4">
        <v>5</v>
      </c>
      <c r="D83" s="4">
        <v>12</v>
      </c>
      <c r="E83" s="4">
        <v>313</v>
      </c>
      <c r="F83" s="4">
        <v>2053</v>
      </c>
      <c r="G83" s="3" t="s">
        <v>97</v>
      </c>
      <c r="H83" s="3" t="s">
        <v>97</v>
      </c>
      <c r="I83" s="5" t="str">
        <f t="shared" si="1"/>
        <v>SERVICIO DE INCUBACION</v>
      </c>
      <c r="J83" s="4">
        <v>1</v>
      </c>
      <c r="K83" s="4">
        <v>1</v>
      </c>
      <c r="L83" s="4">
        <v>1</v>
      </c>
    </row>
    <row r="84" spans="1:12" x14ac:dyDescent="0.25">
      <c r="A84" s="4">
        <v>1588</v>
      </c>
      <c r="B84" s="4">
        <v>3</v>
      </c>
      <c r="C84" s="4">
        <v>3</v>
      </c>
      <c r="D84" s="4">
        <v>12</v>
      </c>
      <c r="E84" s="4">
        <v>313</v>
      </c>
      <c r="F84" s="4">
        <v>2025</v>
      </c>
      <c r="G84" s="3" t="s">
        <v>98</v>
      </c>
      <c r="H84" s="3" t="s">
        <v>98</v>
      </c>
      <c r="I84" s="5" t="str">
        <f t="shared" si="1"/>
        <v>SERVICIO DE NACIONALIZACION</v>
      </c>
      <c r="J84" s="4">
        <v>1</v>
      </c>
      <c r="K84" s="4">
        <v>1</v>
      </c>
      <c r="L84" s="4">
        <v>1</v>
      </c>
    </row>
    <row r="85" spans="1:12" x14ac:dyDescent="0.25">
      <c r="A85" s="4">
        <v>1588</v>
      </c>
      <c r="B85" s="4">
        <v>3</v>
      </c>
      <c r="C85" s="4">
        <v>5</v>
      </c>
      <c r="D85" s="4">
        <v>12</v>
      </c>
      <c r="E85" s="4">
        <v>313</v>
      </c>
      <c r="F85" s="4">
        <v>2053</v>
      </c>
      <c r="G85" s="3" t="s">
        <v>99</v>
      </c>
      <c r="H85" s="3" t="s">
        <v>99</v>
      </c>
      <c r="I85" s="5" t="str">
        <f t="shared" si="1"/>
        <v>SERVICIOS 0%</v>
      </c>
      <c r="J85" s="4">
        <v>1</v>
      </c>
      <c r="K85" s="4">
        <v>1</v>
      </c>
      <c r="L85" s="4">
        <v>1</v>
      </c>
    </row>
    <row r="86" spans="1:12" x14ac:dyDescent="0.25">
      <c r="A86" s="4">
        <v>1588</v>
      </c>
      <c r="B86" s="4">
        <v>3</v>
      </c>
      <c r="C86" s="4">
        <v>5</v>
      </c>
      <c r="D86" s="4">
        <v>12</v>
      </c>
      <c r="E86" s="4">
        <v>313</v>
      </c>
      <c r="F86" s="4">
        <v>1679</v>
      </c>
      <c r="G86" s="3" t="s">
        <v>100</v>
      </c>
      <c r="H86" s="3" t="s">
        <v>100</v>
      </c>
      <c r="I86" s="5" t="str">
        <f t="shared" si="1"/>
        <v>SERVICIOS NOTARIALES 0%</v>
      </c>
      <c r="J86" s="4">
        <v>1</v>
      </c>
      <c r="K86" s="4">
        <v>1</v>
      </c>
      <c r="L86" s="4">
        <v>1</v>
      </c>
    </row>
    <row r="87" spans="1:12" x14ac:dyDescent="0.25">
      <c r="A87" s="4">
        <v>1588</v>
      </c>
      <c r="B87" s="4">
        <v>3</v>
      </c>
      <c r="C87" s="4">
        <v>3</v>
      </c>
      <c r="D87" s="4">
        <v>12</v>
      </c>
      <c r="E87" s="4">
        <v>313</v>
      </c>
      <c r="F87" s="4">
        <v>1678</v>
      </c>
      <c r="G87" s="3" t="s">
        <v>101</v>
      </c>
      <c r="H87" s="3" t="s">
        <v>101</v>
      </c>
      <c r="I87" s="5" t="str">
        <f t="shared" si="1"/>
        <v>SERVICIOS NOTARIALES 12%</v>
      </c>
      <c r="J87" s="4">
        <v>1</v>
      </c>
      <c r="K87" s="4">
        <v>1</v>
      </c>
      <c r="L87" s="4">
        <v>1</v>
      </c>
    </row>
    <row r="88" spans="1:12" x14ac:dyDescent="0.25">
      <c r="A88" s="4">
        <v>1588</v>
      </c>
      <c r="B88" s="4">
        <v>14</v>
      </c>
      <c r="C88" s="4">
        <v>5</v>
      </c>
      <c r="D88" s="4">
        <v>12</v>
      </c>
      <c r="E88" s="4">
        <v>313</v>
      </c>
      <c r="F88" s="4">
        <v>1558</v>
      </c>
      <c r="G88" s="3" t="s">
        <v>102</v>
      </c>
      <c r="H88" s="3" t="s">
        <v>102</v>
      </c>
      <c r="I88" s="5" t="str">
        <f t="shared" si="1"/>
        <v>SOYA</v>
      </c>
      <c r="J88" s="4">
        <v>1</v>
      </c>
      <c r="K88" s="4">
        <v>1</v>
      </c>
      <c r="L88" s="4">
        <v>1</v>
      </c>
    </row>
    <row r="89" spans="1:12" x14ac:dyDescent="0.25">
      <c r="A89" s="4">
        <v>1588</v>
      </c>
      <c r="B89" s="4">
        <v>14</v>
      </c>
      <c r="C89" s="4">
        <v>5</v>
      </c>
      <c r="D89" s="4">
        <v>12</v>
      </c>
      <c r="E89" s="4">
        <v>313</v>
      </c>
      <c r="F89" s="4">
        <v>1558</v>
      </c>
      <c r="G89" s="3" t="s">
        <v>103</v>
      </c>
      <c r="H89" s="3" t="s">
        <v>103</v>
      </c>
      <c r="I89" s="5" t="str">
        <f t="shared" si="1"/>
        <v>STAFACK</v>
      </c>
      <c r="J89" s="4">
        <v>1</v>
      </c>
      <c r="K89" s="4">
        <v>1</v>
      </c>
      <c r="L89" s="4">
        <v>1</v>
      </c>
    </row>
    <row r="90" spans="1:12" x14ac:dyDescent="0.25">
      <c r="A90" s="4">
        <v>1588</v>
      </c>
      <c r="B90" s="4">
        <v>14</v>
      </c>
      <c r="C90" s="4">
        <v>3</v>
      </c>
      <c r="D90" s="4">
        <v>12</v>
      </c>
      <c r="E90" s="4">
        <v>313</v>
      </c>
      <c r="F90" s="4">
        <v>1564</v>
      </c>
      <c r="G90" s="3" t="s">
        <v>104</v>
      </c>
      <c r="H90" s="3" t="s">
        <v>104</v>
      </c>
      <c r="I90" s="5" t="str">
        <f t="shared" si="1"/>
        <v>SUMINISTROS DE FERRETERIA</v>
      </c>
      <c r="J90" s="4">
        <v>1</v>
      </c>
      <c r="K90" s="4">
        <v>1</v>
      </c>
      <c r="L90" s="4">
        <v>1</v>
      </c>
    </row>
    <row r="91" spans="1:12" x14ac:dyDescent="0.25">
      <c r="A91" s="4">
        <v>1588</v>
      </c>
      <c r="B91" s="4">
        <v>14</v>
      </c>
      <c r="C91" s="4">
        <v>5</v>
      </c>
      <c r="D91" s="4">
        <v>12</v>
      </c>
      <c r="E91" s="4">
        <v>313</v>
      </c>
      <c r="F91" s="4">
        <v>1564</v>
      </c>
      <c r="G91" s="3" t="s">
        <v>105</v>
      </c>
      <c r="H91" s="3" t="s">
        <v>105</v>
      </c>
      <c r="I91" s="5" t="str">
        <f t="shared" si="1"/>
        <v>SUMINISTROS DE FERRETERIA 0%</v>
      </c>
      <c r="J91" s="4">
        <v>1</v>
      </c>
      <c r="K91" s="4">
        <v>1</v>
      </c>
      <c r="L91" s="4">
        <v>1</v>
      </c>
    </row>
    <row r="92" spans="1:12" x14ac:dyDescent="0.25">
      <c r="A92" s="4">
        <v>1588</v>
      </c>
      <c r="B92" s="4">
        <v>14</v>
      </c>
      <c r="C92" s="4">
        <v>6</v>
      </c>
      <c r="D92" s="4">
        <v>12</v>
      </c>
      <c r="E92" s="4">
        <v>313</v>
      </c>
      <c r="F92" s="4">
        <v>1840</v>
      </c>
      <c r="G92" s="3" t="s">
        <v>106</v>
      </c>
      <c r="H92" s="3" t="s">
        <v>106</v>
      </c>
      <c r="I92" s="5" t="str">
        <f t="shared" si="1"/>
        <v>SUMINISTROS DE OFICINA</v>
      </c>
      <c r="J92" s="4">
        <v>1</v>
      </c>
      <c r="K92" s="4">
        <v>1</v>
      </c>
      <c r="L92" s="4">
        <v>1</v>
      </c>
    </row>
    <row r="93" spans="1:12" x14ac:dyDescent="0.25">
      <c r="A93" s="4">
        <v>1588</v>
      </c>
      <c r="B93" s="4">
        <v>14</v>
      </c>
      <c r="C93" s="4">
        <v>3</v>
      </c>
      <c r="D93" s="4">
        <v>12</v>
      </c>
      <c r="E93" s="4">
        <v>313</v>
      </c>
      <c r="F93" s="4">
        <v>1556</v>
      </c>
      <c r="G93" s="3" t="s">
        <v>107</v>
      </c>
      <c r="H93" s="3" t="s">
        <v>107</v>
      </c>
      <c r="I93" s="5" t="str">
        <f t="shared" si="1"/>
        <v>SUPER</v>
      </c>
      <c r="J93" s="4">
        <v>1</v>
      </c>
      <c r="K93" s="4">
        <v>1</v>
      </c>
      <c r="L93" s="4">
        <v>1</v>
      </c>
    </row>
    <row r="94" spans="1:12" x14ac:dyDescent="0.25">
      <c r="A94" s="4">
        <v>1588</v>
      </c>
      <c r="B94" s="4">
        <v>14</v>
      </c>
      <c r="C94" s="4">
        <v>5</v>
      </c>
      <c r="D94" s="4">
        <v>12</v>
      </c>
      <c r="E94" s="4">
        <v>313</v>
      </c>
      <c r="F94" s="4">
        <v>1549</v>
      </c>
      <c r="G94" s="3" t="s">
        <v>108</v>
      </c>
      <c r="H94" s="3" t="s">
        <v>108</v>
      </c>
      <c r="I94" s="5" t="str">
        <f t="shared" si="1"/>
        <v>TILOVET</v>
      </c>
      <c r="J94" s="4">
        <v>1</v>
      </c>
      <c r="K94" s="4">
        <v>1</v>
      </c>
      <c r="L94" s="4">
        <v>1</v>
      </c>
    </row>
    <row r="95" spans="1:12" x14ac:dyDescent="0.25">
      <c r="A95" s="4">
        <v>1588</v>
      </c>
      <c r="B95" s="4">
        <v>3</v>
      </c>
      <c r="C95" s="4">
        <v>3</v>
      </c>
      <c r="D95" s="4">
        <v>12</v>
      </c>
      <c r="E95" s="4">
        <v>313</v>
      </c>
      <c r="F95" s="4">
        <v>2025</v>
      </c>
      <c r="G95" s="3" t="s">
        <v>109</v>
      </c>
      <c r="H95" s="3" t="s">
        <v>109</v>
      </c>
      <c r="I95" s="5" t="str">
        <f t="shared" si="1"/>
        <v>tramite de permiso zoosanitario</v>
      </c>
      <c r="J95" s="4">
        <v>1</v>
      </c>
      <c r="K95" s="4">
        <v>1</v>
      </c>
      <c r="L95" s="4">
        <v>1</v>
      </c>
    </row>
    <row r="96" spans="1:12" x14ac:dyDescent="0.25">
      <c r="A96" s="4">
        <v>1588</v>
      </c>
      <c r="B96" s="4">
        <v>3</v>
      </c>
      <c r="C96" s="4">
        <v>5</v>
      </c>
      <c r="D96" s="4">
        <v>12</v>
      </c>
      <c r="E96" s="4">
        <v>313</v>
      </c>
      <c r="F96" s="4">
        <v>1677</v>
      </c>
      <c r="G96" s="3" t="s">
        <v>110</v>
      </c>
      <c r="H96" s="3" t="s">
        <v>110</v>
      </c>
      <c r="I96" s="5" t="str">
        <f t="shared" si="1"/>
        <v>TRANSPORTE</v>
      </c>
      <c r="J96" s="4">
        <v>1</v>
      </c>
      <c r="K96" s="4">
        <v>1</v>
      </c>
      <c r="L96" s="4">
        <v>1</v>
      </c>
    </row>
    <row r="97" spans="1:12" x14ac:dyDescent="0.25">
      <c r="A97" s="4">
        <v>1588</v>
      </c>
      <c r="B97" s="4">
        <v>1</v>
      </c>
      <c r="C97" s="4">
        <v>3</v>
      </c>
      <c r="D97" s="4">
        <v>12</v>
      </c>
      <c r="E97" s="4">
        <v>313</v>
      </c>
      <c r="F97" s="4">
        <v>2025</v>
      </c>
      <c r="G97" s="3" t="s">
        <v>111</v>
      </c>
      <c r="H97" s="3" t="s">
        <v>111</v>
      </c>
      <c r="I97" s="5" t="str">
        <f t="shared" si="1"/>
        <v>TRATAMIENTO CURATIVO CON FOSFINA</v>
      </c>
      <c r="J97" s="4">
        <v>1</v>
      </c>
      <c r="K97" s="4">
        <v>1</v>
      </c>
      <c r="L97" s="4">
        <v>1</v>
      </c>
    </row>
    <row r="98" spans="1:12" x14ac:dyDescent="0.25">
      <c r="A98" s="4">
        <v>1588</v>
      </c>
      <c r="B98" s="4">
        <v>3</v>
      </c>
      <c r="C98" s="4">
        <v>3</v>
      </c>
      <c r="D98" s="4">
        <v>12</v>
      </c>
      <c r="E98" s="4">
        <v>313</v>
      </c>
      <c r="F98" s="4">
        <v>2025</v>
      </c>
      <c r="G98" s="3" t="s">
        <v>112</v>
      </c>
      <c r="H98" s="3" t="s">
        <v>112</v>
      </c>
      <c r="I98" s="5" t="str">
        <f t="shared" si="1"/>
        <v>TRATAMIENTO PARA MAIZ</v>
      </c>
      <c r="J98" s="4">
        <v>1</v>
      </c>
      <c r="K98" s="4">
        <v>1</v>
      </c>
      <c r="L98" s="4">
        <v>1</v>
      </c>
    </row>
    <row r="99" spans="1:12" x14ac:dyDescent="0.25">
      <c r="A99" s="4">
        <v>1588</v>
      </c>
      <c r="B99" s="4">
        <v>1</v>
      </c>
      <c r="C99" s="4">
        <v>5</v>
      </c>
      <c r="D99" s="4">
        <v>12</v>
      </c>
      <c r="E99" s="4">
        <v>313</v>
      </c>
      <c r="F99" s="4">
        <v>1592</v>
      </c>
      <c r="G99" s="3" t="s">
        <v>113</v>
      </c>
      <c r="H99" s="3" t="s">
        <v>113</v>
      </c>
      <c r="I99" s="5" t="str">
        <f t="shared" si="1"/>
        <v>UNIFORMES PERSONAL</v>
      </c>
      <c r="J99" s="4">
        <v>1</v>
      </c>
      <c r="K99" s="4">
        <v>1</v>
      </c>
      <c r="L99" s="4">
        <v>1</v>
      </c>
    </row>
    <row r="100" spans="1:12" x14ac:dyDescent="0.25">
      <c r="A100" s="4">
        <v>1588</v>
      </c>
      <c r="B100" s="4">
        <v>1</v>
      </c>
      <c r="C100" s="4">
        <v>3</v>
      </c>
      <c r="D100" s="4">
        <v>12</v>
      </c>
      <c r="E100" s="4">
        <v>313</v>
      </c>
      <c r="F100" s="4">
        <v>1592</v>
      </c>
      <c r="G100" s="3" t="s">
        <v>114</v>
      </c>
      <c r="H100" s="3" t="s">
        <v>114</v>
      </c>
      <c r="I100" s="5" t="str">
        <f t="shared" si="1"/>
        <v>UNIFORMES PERSONAL 12%</v>
      </c>
      <c r="J100" s="4">
        <v>1</v>
      </c>
      <c r="K100" s="4">
        <v>1</v>
      </c>
      <c r="L100" s="4">
        <v>1</v>
      </c>
    </row>
    <row r="101" spans="1:12" x14ac:dyDescent="0.25">
      <c r="A101" s="4">
        <v>1588</v>
      </c>
      <c r="B101" s="4">
        <v>14</v>
      </c>
      <c r="C101" s="4">
        <v>3</v>
      </c>
      <c r="D101" s="4">
        <v>12</v>
      </c>
      <c r="E101" s="4">
        <v>313</v>
      </c>
      <c r="F101" s="4">
        <v>2064</v>
      </c>
      <c r="G101" s="3" t="s">
        <v>115</v>
      </c>
      <c r="H101" s="3" t="s">
        <v>115</v>
      </c>
      <c r="I101" s="5" t="str">
        <f t="shared" si="1"/>
        <v>VINAGRE</v>
      </c>
      <c r="J101" s="4">
        <v>1</v>
      </c>
      <c r="K101" s="4">
        <v>1</v>
      </c>
      <c r="L101" s="4">
        <v>1</v>
      </c>
    </row>
    <row r="102" spans="1:12" x14ac:dyDescent="0.25">
      <c r="A102" s="4">
        <v>1588</v>
      </c>
      <c r="B102" s="4">
        <v>14</v>
      </c>
      <c r="C102" s="4">
        <v>5</v>
      </c>
      <c r="D102" s="4">
        <v>12</v>
      </c>
      <c r="E102" s="4">
        <v>313</v>
      </c>
      <c r="F102" s="4">
        <v>1558</v>
      </c>
      <c r="G102" s="3" t="s">
        <v>116</v>
      </c>
      <c r="H102" s="3" t="s">
        <v>116</v>
      </c>
      <c r="I102" s="5" t="str">
        <f>H102</f>
        <v>YES FIX</v>
      </c>
      <c r="J102" s="4">
        <v>1</v>
      </c>
      <c r="K102" s="4">
        <v>1</v>
      </c>
      <c r="L102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Programacion</dc:creator>
  <cp:lastModifiedBy>Programacion</cp:lastModifiedBy>
  <dcterms:created xsi:type="dcterms:W3CDTF">2022-05-20T21:22:20Z</dcterms:created>
  <dcterms:modified xsi:type="dcterms:W3CDTF">2022-05-20T21:24:29Z</dcterms:modified>
</cp:coreProperties>
</file>