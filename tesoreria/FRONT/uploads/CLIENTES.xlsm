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8_{C30E01F6-F1B8-403C-86A0-0984140D0A97}" xr6:coauthVersionLast="47" xr6:coauthVersionMax="47" xr10:uidLastSave="{00000000-0000-0000-0000-000000000000}"/>
  <bookViews>
    <workbookView xWindow="-120" yWindow="-120" windowWidth="20730" windowHeight="11040" xr2:uid="{887AA99E-E8B8-423D-9164-FA970628F7EC}"/>
  </bookViews>
  <sheets>
    <sheet name="Hoja1" sheetId="1" r:id="rId1"/>
  </sheets>
  <definedNames>
    <definedName name="_xlnm._FilterDatabase" localSheetId="0" hidden="1">Hoja1!$B$1:$AP$220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7" i="1" l="1"/>
  <c r="D194" i="1"/>
  <c r="D192" i="1"/>
  <c r="D127" i="1"/>
  <c r="D116" i="1"/>
  <c r="D123" i="1"/>
  <c r="D115" i="1"/>
  <c r="D113" i="1"/>
  <c r="D111" i="1"/>
  <c r="D88" i="1"/>
  <c r="E219" i="1"/>
  <c r="E217" i="1"/>
  <c r="E216" i="1"/>
  <c r="E215" i="1"/>
  <c r="E204" i="1"/>
  <c r="E203" i="1"/>
  <c r="E202" i="1"/>
  <c r="E199" i="1"/>
  <c r="E197" i="1"/>
  <c r="E196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4" i="1"/>
  <c r="E173" i="1"/>
  <c r="E172" i="1"/>
  <c r="E171" i="1"/>
  <c r="E170" i="1"/>
  <c r="E169" i="1"/>
  <c r="E168" i="1"/>
  <c r="E167" i="1"/>
  <c r="E166" i="1"/>
  <c r="E164" i="1"/>
  <c r="E163" i="1"/>
  <c r="E161" i="1"/>
  <c r="E160" i="1"/>
  <c r="E159" i="1"/>
  <c r="E158" i="1"/>
  <c r="E157" i="1"/>
  <c r="E156" i="1"/>
  <c r="E155" i="1"/>
  <c r="E154" i="1"/>
  <c r="E153" i="1"/>
  <c r="E152" i="1"/>
  <c r="E151" i="1"/>
  <c r="E149" i="1"/>
  <c r="E148" i="1"/>
  <c r="E147" i="1"/>
  <c r="E146" i="1"/>
  <c r="E144" i="1"/>
  <c r="E143" i="1"/>
  <c r="E142" i="1"/>
  <c r="E141" i="1"/>
  <c r="E140" i="1"/>
  <c r="E139" i="1"/>
  <c r="E138" i="1"/>
  <c r="E136" i="1"/>
  <c r="E135" i="1"/>
  <c r="E134" i="1"/>
  <c r="E132" i="1"/>
  <c r="E130" i="1"/>
  <c r="E129" i="1"/>
  <c r="E128" i="1"/>
  <c r="E126" i="1"/>
  <c r="E125" i="1"/>
  <c r="E123" i="1"/>
  <c r="E122" i="1"/>
  <c r="E120" i="1"/>
  <c r="E112" i="1"/>
  <c r="E109" i="1"/>
  <c r="E107" i="1"/>
  <c r="E106" i="1"/>
  <c r="E105" i="1"/>
  <c r="E103" i="1"/>
  <c r="E102" i="1"/>
  <c r="E101" i="1"/>
  <c r="E100" i="1"/>
  <c r="E99" i="1"/>
  <c r="E98" i="1"/>
  <c r="E95" i="1"/>
  <c r="E94" i="1"/>
  <c r="E93" i="1"/>
  <c r="E87" i="1"/>
  <c r="E86" i="1"/>
  <c r="E85" i="1"/>
  <c r="E84" i="1"/>
  <c r="E83" i="1"/>
  <c r="E75" i="1"/>
  <c r="E74" i="1"/>
  <c r="E44" i="1"/>
  <c r="E43" i="1"/>
  <c r="E42" i="1"/>
  <c r="E41" i="1"/>
  <c r="E40" i="1"/>
  <c r="E39" i="1"/>
  <c r="E38" i="1"/>
  <c r="E37" i="1"/>
  <c r="E35" i="1"/>
  <c r="E34" i="1"/>
  <c r="E33" i="1"/>
  <c r="E32" i="1"/>
  <c r="E31" i="1"/>
  <c r="E30" i="1"/>
  <c r="E29" i="1"/>
  <c r="E27" i="1"/>
  <c r="E26" i="1"/>
  <c r="E25" i="1"/>
  <c r="E23" i="1"/>
  <c r="E22" i="1"/>
  <c r="E21" i="1"/>
  <c r="E13" i="1"/>
  <c r="E12" i="1"/>
  <c r="E11" i="1"/>
  <c r="E8" i="1"/>
  <c r="E7" i="1"/>
  <c r="E2" i="1"/>
  <c r="D150" i="1"/>
  <c r="D137" i="1"/>
  <c r="D131" i="1"/>
  <c r="D119" i="1"/>
  <c r="D118" i="1"/>
  <c r="D114" i="1"/>
  <c r="D90" i="1"/>
  <c r="D66" i="1"/>
  <c r="D9" i="1"/>
  <c r="D4" i="1"/>
  <c r="D10" i="1"/>
  <c r="D195" i="1"/>
  <c r="D213" i="1"/>
  <c r="D191" i="1"/>
  <c r="D175" i="1"/>
  <c r="D96" i="1"/>
  <c r="D6" i="1"/>
  <c r="D220" i="1"/>
  <c r="D82" i="1"/>
  <c r="D69" i="1"/>
  <c r="D89" i="1"/>
  <c r="D92" i="1"/>
  <c r="D91" i="1"/>
  <c r="D81" i="1"/>
  <c r="D80" i="1"/>
  <c r="D79" i="1"/>
  <c r="D78" i="1"/>
  <c r="D77" i="1"/>
  <c r="D76" i="1"/>
  <c r="D67" i="1"/>
  <c r="D68" i="1"/>
  <c r="D71" i="1"/>
  <c r="D72" i="1"/>
  <c r="D73" i="1"/>
  <c r="D70" i="1"/>
  <c r="D214" i="1"/>
  <c r="D212" i="1"/>
  <c r="D211" i="1"/>
  <c r="D210" i="1"/>
  <c r="D209" i="1"/>
  <c r="D208" i="1"/>
  <c r="D207" i="1"/>
  <c r="D206" i="1"/>
  <c r="D205" i="1"/>
  <c r="D121" i="1"/>
  <c r="D65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6" i="1"/>
  <c r="D3" i="1"/>
  <c r="D198" i="1"/>
  <c r="D104" i="1"/>
  <c r="D20" i="1"/>
  <c r="D19" i="1"/>
  <c r="D18" i="1"/>
  <c r="D17" i="1"/>
  <c r="D16" i="1"/>
  <c r="D15" i="1"/>
  <c r="D14" i="1"/>
  <c r="D133" i="1"/>
  <c r="D64" i="1"/>
  <c r="D48" i="1"/>
  <c r="D47" i="1"/>
  <c r="D218" i="1"/>
  <c r="D201" i="1"/>
  <c r="D200" i="1"/>
  <c r="D193" i="1"/>
  <c r="D165" i="1"/>
  <c r="D162" i="1"/>
  <c r="D145" i="1"/>
  <c r="D124" i="1"/>
  <c r="D117" i="1"/>
  <c r="D110" i="1"/>
  <c r="D108" i="1"/>
  <c r="D97" i="1"/>
  <c r="D45" i="1"/>
  <c r="D5" i="1"/>
  <c r="D36" i="1"/>
  <c r="D28" i="1"/>
  <c r="D24" i="1"/>
  <c r="D7" i="1"/>
  <c r="D8" i="1"/>
  <c r="D11" i="1"/>
  <c r="D12" i="1"/>
  <c r="D13" i="1"/>
  <c r="D21" i="1"/>
  <c r="D22" i="1"/>
  <c r="D23" i="1"/>
  <c r="D25" i="1"/>
  <c r="D26" i="1"/>
  <c r="D27" i="1"/>
  <c r="D29" i="1"/>
  <c r="D30" i="1"/>
  <c r="D31" i="1"/>
  <c r="D32" i="1"/>
  <c r="D33" i="1"/>
  <c r="D34" i="1"/>
  <c r="D35" i="1"/>
  <c r="D37" i="1"/>
  <c r="D38" i="1"/>
  <c r="D39" i="1"/>
  <c r="D40" i="1"/>
  <c r="D41" i="1"/>
  <c r="D42" i="1"/>
  <c r="D43" i="1"/>
  <c r="D44" i="1"/>
  <c r="D74" i="1"/>
  <c r="D75" i="1"/>
  <c r="D83" i="1"/>
  <c r="D84" i="1"/>
  <c r="D85" i="1"/>
  <c r="D86" i="1"/>
  <c r="D93" i="1"/>
  <c r="D94" i="1"/>
  <c r="D95" i="1"/>
  <c r="D98" i="1"/>
  <c r="D99" i="1"/>
  <c r="D100" i="1"/>
  <c r="D101" i="1"/>
  <c r="D102" i="1"/>
  <c r="D103" i="1"/>
  <c r="D105" i="1"/>
  <c r="D106" i="1"/>
  <c r="D107" i="1"/>
  <c r="D109" i="1"/>
  <c r="D112" i="1"/>
  <c r="D120" i="1"/>
  <c r="D122" i="1"/>
  <c r="D125" i="1"/>
  <c r="D126" i="1"/>
  <c r="D128" i="1"/>
  <c r="D129" i="1"/>
  <c r="D130" i="1"/>
  <c r="D132" i="1"/>
  <c r="D134" i="1"/>
  <c r="D135" i="1"/>
  <c r="D136" i="1"/>
  <c r="D138" i="1"/>
  <c r="D139" i="1"/>
  <c r="D140" i="1"/>
  <c r="D141" i="1"/>
  <c r="D142" i="1"/>
  <c r="D143" i="1"/>
  <c r="D144" i="1"/>
  <c r="D146" i="1"/>
  <c r="D147" i="1"/>
  <c r="D148" i="1"/>
  <c r="D149" i="1"/>
  <c r="D151" i="1"/>
  <c r="D152" i="1"/>
  <c r="D153" i="1"/>
  <c r="D154" i="1"/>
  <c r="D155" i="1"/>
  <c r="D156" i="1"/>
  <c r="D157" i="1"/>
  <c r="D158" i="1"/>
  <c r="D159" i="1"/>
  <c r="D160" i="1"/>
  <c r="D161" i="1"/>
  <c r="D163" i="1"/>
  <c r="D164" i="1"/>
  <c r="D166" i="1"/>
  <c r="D167" i="1"/>
  <c r="D168" i="1"/>
  <c r="D169" i="1"/>
  <c r="D170" i="1"/>
  <c r="D171" i="1"/>
  <c r="D172" i="1"/>
  <c r="D173" i="1"/>
  <c r="D174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6" i="1"/>
  <c r="D197" i="1"/>
  <c r="D199" i="1"/>
  <c r="D202" i="1"/>
  <c r="D203" i="1"/>
  <c r="D204" i="1"/>
  <c r="D215" i="1"/>
  <c r="D216" i="1"/>
  <c r="D217" i="1"/>
  <c r="D219" i="1"/>
  <c r="D2" i="1"/>
</calcChain>
</file>

<file path=xl/sharedStrings.xml><?xml version="1.0" encoding="utf-8"?>
<sst xmlns="http://schemas.openxmlformats.org/spreadsheetml/2006/main" count="7706" uniqueCount="1182">
  <si>
    <t>codigo</t>
  </si>
  <si>
    <t>ruc</t>
  </si>
  <si>
    <t>nombre</t>
  </si>
  <si>
    <t>tipo_pers</t>
  </si>
  <si>
    <t>contrib_esp</t>
  </si>
  <si>
    <t>relacionada</t>
  </si>
  <si>
    <t>tipo</t>
  </si>
  <si>
    <t>categoria</t>
  </si>
  <si>
    <t>contacto</t>
  </si>
  <si>
    <t>direccion</t>
  </si>
  <si>
    <t>ciudad</t>
  </si>
  <si>
    <t>telefono</t>
  </si>
  <si>
    <t>fax</t>
  </si>
  <si>
    <t>email</t>
  </si>
  <si>
    <t>fecha_nac</t>
  </si>
  <si>
    <t>mes_nac</t>
  </si>
  <si>
    <t>dia_nac</t>
  </si>
  <si>
    <t>cta_cxc</t>
  </si>
  <si>
    <t>cta_cxp</t>
  </si>
  <si>
    <t>ced_vendedor</t>
  </si>
  <si>
    <t>vendedor</t>
  </si>
  <si>
    <t>forma_pago_cli</t>
  </si>
  <si>
    <t>cupo_cred</t>
  </si>
  <si>
    <t>sucursal</t>
  </si>
  <si>
    <t>zona</t>
  </si>
  <si>
    <t>sector</t>
  </si>
  <si>
    <t>bloque</t>
  </si>
  <si>
    <t>ubicacion</t>
  </si>
  <si>
    <t>status</t>
  </si>
  <si>
    <t>forma_pago_prov</t>
  </si>
  <si>
    <t>codigo_bco</t>
  </si>
  <si>
    <t>tipo_cta_bco</t>
  </si>
  <si>
    <t>num_cta_bco</t>
  </si>
  <si>
    <t>comentarios</t>
  </si>
  <si>
    <t>primera_venta</t>
  </si>
  <si>
    <t>ult_venta</t>
  </si>
  <si>
    <t>tot_ventas</t>
  </si>
  <si>
    <t>tot_desctos</t>
  </si>
  <si>
    <t>cant_ventas</t>
  </si>
  <si>
    <t>1146</t>
  </si>
  <si>
    <t>0701917551001</t>
  </si>
  <si>
    <t>NATURAL</t>
  </si>
  <si>
    <t>NO</t>
  </si>
  <si>
    <t>NORMAL</t>
  </si>
  <si>
    <t>BUENO</t>
  </si>
  <si>
    <t/>
  </si>
  <si>
    <t>BOLIVAR 105 Y ATAHUALPA</t>
  </si>
  <si>
    <t>PASAJE</t>
  </si>
  <si>
    <t>arodriguez1510@hotmail.com</t>
  </si>
  <si>
    <t xml:space="preserve">  -   -</t>
  </si>
  <si>
    <t>00</t>
  </si>
  <si>
    <t>Activo</t>
  </si>
  <si>
    <t>1188</t>
  </si>
  <si>
    <t>1768159650001</t>
  </si>
  <si>
    <t>AGENCIA NACIONAL DE REGULACION Y CONTROL DEL TRANSPORTE TERR</t>
  </si>
  <si>
    <t>SI</t>
  </si>
  <si>
    <t>Av. Mariscal Sucre N54-103 Jose Sanchez</t>
  </si>
  <si>
    <t>QUITO</t>
  </si>
  <si>
    <t>1248</t>
  </si>
  <si>
    <t>0791742757001</t>
  </si>
  <si>
    <t>AGRHOSPASE CIA LTDA</t>
  </si>
  <si>
    <t>S/N Edificio Oro Plaza,N░oficina 309,Piso 2</t>
  </si>
  <si>
    <t>MACHALA</t>
  </si>
  <si>
    <t>grupopalacios@outlook.es</t>
  </si>
  <si>
    <t>1170</t>
  </si>
  <si>
    <t>0791739136001</t>
  </si>
  <si>
    <t>AGRICOLA DANILUP S.A.</t>
  </si>
  <si>
    <t>S-004:FINCA GALAPAGOS</t>
  </si>
  <si>
    <t>VIA A BARBONES S/N Y SANTA LUCIA</t>
  </si>
  <si>
    <t>EL GUABO</t>
  </si>
  <si>
    <t>2950132</t>
  </si>
  <si>
    <t>agricola.danilup@gmail.com</t>
  </si>
  <si>
    <t>1181</t>
  </si>
  <si>
    <t>0790150074001</t>
  </si>
  <si>
    <t>AGRORGANICA S A</t>
  </si>
  <si>
    <t xml:space="preserve"> ONCEAVA NORTE P.B. Y ESTERO HUAYLA Y JUNIN</t>
  </si>
  <si>
    <t>asistentecontable@agrorganica.com</t>
  </si>
  <si>
    <t>1126</t>
  </si>
  <si>
    <t>0705256295001</t>
  </si>
  <si>
    <t>AGUILERA LOPEZ JOHNNY FABRICIO</t>
  </si>
  <si>
    <t>0979650980</t>
  </si>
  <si>
    <t>ELOY ALFARO Y PRIMERO DE NOVIEMBRE</t>
  </si>
  <si>
    <t>1209</t>
  </si>
  <si>
    <t>0702548991001</t>
  </si>
  <si>
    <t>ALEJANDRO SOLORZANO SANTIAGO MANUEL</t>
  </si>
  <si>
    <t>EL ORO / MACHALA / EL CAMBIO / S/N</t>
  </si>
  <si>
    <t>retdesanti@hotmail.com</t>
  </si>
  <si>
    <t>1108</t>
  </si>
  <si>
    <t>0990294690001</t>
  </si>
  <si>
    <t>ALIMENTOS EL SABOR ALIMENSABOR C. LTDA</t>
  </si>
  <si>
    <t>0997640512</t>
  </si>
  <si>
    <t xml:space="preserve"> GUAYAS*GUAYAQUIL / KM  19 1/2 VIA A LA COSTA RECINTO NUEVA ESPERANZA</t>
  </si>
  <si>
    <t>GUAYAQUIL</t>
  </si>
  <si>
    <t>1223</t>
  </si>
  <si>
    <t>0990011214001</t>
  </si>
  <si>
    <t>ALMACENES DE PRATI SA</t>
  </si>
  <si>
    <t>AV. 25 DE JUNIO MZ. STA INES SL 1B1 C1F</t>
  </si>
  <si>
    <t>Sin Ciudad</t>
  </si>
  <si>
    <t>1219</t>
  </si>
  <si>
    <t>0702119439001</t>
  </si>
  <si>
    <t>ALVARADO PELAEZ KLEBER AUGUSTO</t>
  </si>
  <si>
    <t>0995570931</t>
  </si>
  <si>
    <t>VIA LA PALESTINA</t>
  </si>
  <si>
    <t>kleber_of@hotmail.com</t>
  </si>
  <si>
    <t>1195</t>
  </si>
  <si>
    <t>0703135657001</t>
  </si>
  <si>
    <t>ALVAREZ CUESTA HARTMAN CHRISTIAN</t>
  </si>
  <si>
    <t>BARRIO 3 DE JULIO AV PANAMERICANA SUR</t>
  </si>
  <si>
    <t>hatman.a@hotmail.com</t>
  </si>
  <si>
    <t>1135</t>
  </si>
  <si>
    <t>0702788464001</t>
  </si>
  <si>
    <t>ARCENTALES ALVAREZ JORGE ORLANDO</t>
  </si>
  <si>
    <t>LA OCTUBRINA Y 3 DE NOVIEMBRE</t>
  </si>
  <si>
    <t>1190</t>
  </si>
  <si>
    <t>0791763452001</t>
  </si>
  <si>
    <t>ASOCIACION AGROPECUARIA CHAGUANA</t>
  </si>
  <si>
    <t>Sitio Chaguana</t>
  </si>
  <si>
    <t>asochaguana@gmail.com</t>
  </si>
  <si>
    <t>1293</t>
  </si>
  <si>
    <t>0790101006001</t>
  </si>
  <si>
    <t>VIA PANAMERICANA SUR Y QUINTA OESTE</t>
  </si>
  <si>
    <t>2950088</t>
  </si>
  <si>
    <t>1260</t>
  </si>
  <si>
    <t>0791792185001</t>
  </si>
  <si>
    <t>ASOCIACION DE PRODUCCION AGRICOLA BANANEROS DEL CAMBIO ASOPR</t>
  </si>
  <si>
    <t>EL ORO / MACHALA / EL CAMBIO / AV PANAMERICANA S/N Y 150 MT Y DEL CAMBIO</t>
  </si>
  <si>
    <t>1263</t>
  </si>
  <si>
    <t>0791833906001</t>
  </si>
  <si>
    <t>ASOCIACION DE PRODUCCION AGRICOLA ECOLOGICA DE BANANO DEL OR</t>
  </si>
  <si>
    <t xml:space="preserve"> EL GUABO / PANAMERICANA SANTA LUCIA NA Y SN</t>
  </si>
  <si>
    <t>asoproaebao@gmail.com</t>
  </si>
  <si>
    <t>ASOPROAEBAO</t>
  </si>
  <si>
    <t>1198</t>
  </si>
  <si>
    <t>0791834678001</t>
  </si>
  <si>
    <t>ASOCIACION DE PRODUCCION AGRICOLA GOLD FRUIT FRUTA DE ORO AS</t>
  </si>
  <si>
    <t>LA PROVIDENCIA / AV 25 DE JUNIO S/N</t>
  </si>
  <si>
    <t xml:space="preserve"> asogoldfruit_1220@hotmail.com</t>
  </si>
  <si>
    <t>1176</t>
  </si>
  <si>
    <t>0791807492001</t>
  </si>
  <si>
    <t>ASOCIACION DE PRODUCCION AGRICOLA ORGANICA PASAJE ASOPAOP</t>
  </si>
  <si>
    <t>AV.AZUAY SN Y ATAHUALPA</t>
  </si>
  <si>
    <t>072916511</t>
  </si>
  <si>
    <t>contabilidad.asopaop1@gmail.com</t>
  </si>
  <si>
    <t>1185</t>
  </si>
  <si>
    <t>0791742242001</t>
  </si>
  <si>
    <t>ASOCIACION DE PRODUCTORES NUEVA ESPERANZA</t>
  </si>
  <si>
    <t>CIRCUNVALACION NORTE 2313 Y AUGUSTO VALLE ROSALES</t>
  </si>
  <si>
    <t>fernandoc@asonuevaesperanza.com</t>
  </si>
  <si>
    <t>1129</t>
  </si>
  <si>
    <t>0703488171001</t>
  </si>
  <si>
    <t>ASTUDILLO TORRES EDGAR YASMANI</t>
  </si>
  <si>
    <t>EL CAMBIO AV FERROVIARIA Y VIA GUAYAQUIL</t>
  </si>
  <si>
    <t>tracardimachala@gmail.com</t>
  </si>
  <si>
    <t>GLR0823</t>
  </si>
  <si>
    <t>1196</t>
  </si>
  <si>
    <t>0102901931001</t>
  </si>
  <si>
    <t>AVILA GRANDA OLGER AUGUSTO</t>
  </si>
  <si>
    <t>BALAO SITIO LA LIBERTAD Y S/N</t>
  </si>
  <si>
    <t>Olgeravila@hotmail.com</t>
  </si>
  <si>
    <t>FINCA LA FORTUNA</t>
  </si>
  <si>
    <t>1173</t>
  </si>
  <si>
    <t>0703178921001</t>
  </si>
  <si>
    <t>AYALA RAMON VICTOR HUGO</t>
  </si>
  <si>
    <t>EL GUABO AV PANAMERICANA 2-3 Y M2</t>
  </si>
  <si>
    <t>varpok@gmail.com</t>
  </si>
  <si>
    <t>1290</t>
  </si>
  <si>
    <t>0990005737001</t>
  </si>
  <si>
    <t>BANCO DEL PACIFICO S.A</t>
  </si>
  <si>
    <t>AV. 9 DE OCTUBRE Y ROCAFUERTE</t>
  </si>
  <si>
    <t>1204</t>
  </si>
  <si>
    <t>0705289668001</t>
  </si>
  <si>
    <t>BARREZUETA GUANGA DAMIAN MAURICIO</t>
  </si>
  <si>
    <t>SITIO LA SABANA -PASAJE</t>
  </si>
  <si>
    <t>1160</t>
  </si>
  <si>
    <t>0700213325001</t>
  </si>
  <si>
    <t>BARROS RAMON LIDIA VICTORIA</t>
  </si>
  <si>
    <t>EL ORO / MACHALA / MACHALA / S/N</t>
  </si>
  <si>
    <t>lidia_v_barros@hotmail.com</t>
  </si>
  <si>
    <t>1281</t>
  </si>
  <si>
    <t>1708035728001</t>
  </si>
  <si>
    <t>BAYAS ORTIZ MARIO ALCIVAR</t>
  </si>
  <si>
    <t>MACHALA / SAUCES Y ARIZAGA Y MANUEL SERRANO</t>
  </si>
  <si>
    <t>1215</t>
  </si>
  <si>
    <t>0992275960001</t>
  </si>
  <si>
    <t>BELUMA S.A.</t>
  </si>
  <si>
    <t>AV.PRINCIPAL S/N VIA MACHALA PASAJE 2</t>
  </si>
  <si>
    <t>DULCERIA Y PANADERIA DOLUPA</t>
  </si>
  <si>
    <t>1051</t>
  </si>
  <si>
    <t>0703913194001</t>
  </si>
  <si>
    <t>BUENO DUMAGUALA FRANKLIN DIONICIO</t>
  </si>
  <si>
    <t>0982771540</t>
  </si>
  <si>
    <t>CALLE LOS RIOS S/N YLA E</t>
  </si>
  <si>
    <t>072951238</t>
  </si>
  <si>
    <t xml:space="preserve"> el_bueno_36@hotmail.com</t>
  </si>
  <si>
    <t>DISCOVERY CLASS CENTRO DE SISTEMA Y SERVICIOS</t>
  </si>
  <si>
    <t>1104</t>
  </si>
  <si>
    <t>0704448588001</t>
  </si>
  <si>
    <t>CABRERA BORBOR JUAN CARLOS</t>
  </si>
  <si>
    <t>0992432916</t>
  </si>
  <si>
    <t>COOP.OCTUBRINA A CIEN METROS DE UNA CANCHA</t>
  </si>
  <si>
    <t>072952124</t>
  </si>
  <si>
    <t>1174</t>
  </si>
  <si>
    <t>0704098706001</t>
  </si>
  <si>
    <t>CALDERON APOLINARIO JIMMY FERNANDO</t>
  </si>
  <si>
    <t>EL ORO / EL GUABO / EL GUABO / S/N</t>
  </si>
  <si>
    <t>pollo_yoga@hotmail.com</t>
  </si>
  <si>
    <t>1157</t>
  </si>
  <si>
    <t>1703808103001</t>
  </si>
  <si>
    <t>CARLOS OLVIN BOLIVAR FARINANGO GUALICHE</t>
  </si>
  <si>
    <t>AV.25 DE JUNIO E/BUENAVISTA Y CALLEJON BANOORO</t>
  </si>
  <si>
    <t>072992831</t>
  </si>
  <si>
    <t>carlosfarinango2015@gamil.com</t>
  </si>
  <si>
    <t>1121</t>
  </si>
  <si>
    <t>0706392107001</t>
  </si>
  <si>
    <t>S/N</t>
  </si>
  <si>
    <t>1274</t>
  </si>
  <si>
    <t>0703487660001</t>
  </si>
  <si>
    <t>CARRIEL RAMIREZ EDISON JAVIER</t>
  </si>
  <si>
    <t>SUCRE E. SANTA ROSA Y AYACUCHO - MACHALA</t>
  </si>
  <si>
    <t>ORO BORDADOS III</t>
  </si>
  <si>
    <t>1288</t>
  </si>
  <si>
    <t>0702316316001</t>
  </si>
  <si>
    <t>CARRION CARRION LUISA ESPERANZA</t>
  </si>
  <si>
    <t>EL CAMBIO / SN</t>
  </si>
  <si>
    <t>luisaesperanza1968@hotmail.com</t>
  </si>
  <si>
    <t>1006</t>
  </si>
  <si>
    <t>0190115151001</t>
  </si>
  <si>
    <t>CARTONES NACIONALES S.A.I. CARTOPEL</t>
  </si>
  <si>
    <t>JURIDICA</t>
  </si>
  <si>
    <t>AV CORNELIO VINTIMILLA S/N Y CARLOS TOSI (PARQUE INDUSTRIAL)_x000D_
E-mail: documentos@</t>
  </si>
  <si>
    <t>072-862090</t>
  </si>
  <si>
    <t>documentos@cartopel2.com</t>
  </si>
  <si>
    <t>1236</t>
  </si>
  <si>
    <t>0913077921001</t>
  </si>
  <si>
    <t>CASTRO CASTRO JAVIER GUILLERMO</t>
  </si>
  <si>
    <t>machala</t>
  </si>
  <si>
    <t>grupojgec@hotmail.com</t>
  </si>
  <si>
    <t>1234</t>
  </si>
  <si>
    <t>0701785222001</t>
  </si>
  <si>
    <t>CASTRO CASTRO MARIA EUGENIA</t>
  </si>
  <si>
    <t>EL ORO/NACHALA/EL CAMBIO/AVENIDA FERROVIARIA S/N Y AV</t>
  </si>
  <si>
    <t>grupocastro4@hotmail.com</t>
  </si>
  <si>
    <t>1210</t>
  </si>
  <si>
    <t>0903553238001</t>
  </si>
  <si>
    <t>CASTRO HIDALGO MARIA EUGENIA</t>
  </si>
  <si>
    <t>HCDA BLANCA ROSA</t>
  </si>
  <si>
    <t>1079</t>
  </si>
  <si>
    <t>0703985556001</t>
  </si>
  <si>
    <t>CEDILLO CORDOVA SARA EMILIA</t>
  </si>
  <si>
    <t>0981582085</t>
  </si>
  <si>
    <t>AVENIDA SIMON BOLIVAR S/N E/. 4TA. Y 5TA.SUR</t>
  </si>
  <si>
    <t>1175</t>
  </si>
  <si>
    <t>0702332438001</t>
  </si>
  <si>
    <t>CHAPA VALAREZO LUIS LORENZO</t>
  </si>
  <si>
    <t>CUARTA NORTE Y 11AVAOESTE MACHALA</t>
  </si>
  <si>
    <t>laurita_romero15@hotmail.com</t>
  </si>
  <si>
    <t>1235</t>
  </si>
  <si>
    <t>1719401836001</t>
  </si>
  <si>
    <t>CHEN VICTOR QINGCHENG</t>
  </si>
  <si>
    <t>2984862</t>
  </si>
  <si>
    <t>AV 25 DE JUNIO Y BABAHOYO</t>
  </si>
  <si>
    <t>2980081</t>
  </si>
  <si>
    <t>imp.tiho@gmail.com</t>
  </si>
  <si>
    <t>TAIHO</t>
  </si>
  <si>
    <t>1191</t>
  </si>
  <si>
    <t>0703139493001</t>
  </si>
  <si>
    <t>COELLO ESPINOZA RAFAEL ANTONIO</t>
  </si>
  <si>
    <t>JUNTO A LA FINCA DEL SR.JOSE ROMERO(VIA A PAJONAL)</t>
  </si>
  <si>
    <t>antonio_coes@hotmail.com</t>
  </si>
  <si>
    <t>1098</t>
  </si>
  <si>
    <t>0704118330001</t>
  </si>
  <si>
    <t>COLLAGUAZO COLLAGUAZO MARIA MARITZA</t>
  </si>
  <si>
    <t>CDLA SAN RAMON</t>
  </si>
  <si>
    <t>jessicha68@gmail.com</t>
  </si>
  <si>
    <t>1142</t>
  </si>
  <si>
    <t>0791746116001</t>
  </si>
  <si>
    <t>COMGUABO S.A.</t>
  </si>
  <si>
    <t>GRAN COLOMBIA 2325 Y AVENIDA DEL EJERCITO DETRAS DE FARMACIA FERRALES</t>
  </si>
  <si>
    <t>agricola.moramarich@hotmail.com</t>
  </si>
  <si>
    <t>1268</t>
  </si>
  <si>
    <t>0791764939001</t>
  </si>
  <si>
    <t>EL CAAMBIO CDLA CRISTO REY CALLE JOSE ARMIJOS Y FRANKLI CHAVEZ</t>
  </si>
  <si>
    <t>lulutranscar@outlook.com</t>
  </si>
  <si>
    <t>1138</t>
  </si>
  <si>
    <t>0791782554001</t>
  </si>
  <si>
    <t>0994482038</t>
  </si>
  <si>
    <t>23 DE ABRIL S/N Y 3 DE NOVIEMBRE</t>
  </si>
  <si>
    <t>pioneros_2015@hotmail.com</t>
  </si>
  <si>
    <t>1202</t>
  </si>
  <si>
    <t>0791789117001</t>
  </si>
  <si>
    <t>TARQUI 241 Y ELOY ALFARO</t>
  </si>
  <si>
    <t>1283</t>
  </si>
  <si>
    <t>0791744644001</t>
  </si>
  <si>
    <t>3 DE NOVIEMBRE S/N Y VP1</t>
  </si>
  <si>
    <t>transguabe@hotmail.com</t>
  </si>
  <si>
    <t>1136</t>
  </si>
  <si>
    <t>0791766397001</t>
  </si>
  <si>
    <t>0994954499</t>
  </si>
  <si>
    <t>VIA PANAMERICANA S/N</t>
  </si>
  <si>
    <t>cia5deseptiembres.a@hotmail.com</t>
  </si>
  <si>
    <t>1137</t>
  </si>
  <si>
    <t>0791773296001</t>
  </si>
  <si>
    <t>0994484201</t>
  </si>
  <si>
    <t>BARRIO JUANA MORA JOSE MOLESTINA ENTRE ZARUMA Y LA F</t>
  </si>
  <si>
    <t>transiberiasa@hotmail.com</t>
  </si>
  <si>
    <t>1216</t>
  </si>
  <si>
    <t>1891747639001</t>
  </si>
  <si>
    <t>CEVALLOS/ AV. PRINCIPAL S/N Y 24 DE MAYO</t>
  </si>
  <si>
    <t>0987274548</t>
  </si>
  <si>
    <t>transpellane@outlook.com</t>
  </si>
  <si>
    <t>1171</t>
  </si>
  <si>
    <t>0791765005001</t>
  </si>
  <si>
    <t>CIRCUNVALACION NORTE</t>
  </si>
  <si>
    <t>transpinelsa@gmail.com</t>
  </si>
  <si>
    <t>1145</t>
  </si>
  <si>
    <t>0791752531001</t>
  </si>
  <si>
    <t>0959811171</t>
  </si>
  <si>
    <t>SANTA ROSA 1001 Y 8VA NORTE</t>
  </si>
  <si>
    <t>1206</t>
  </si>
  <si>
    <t>0791730309001</t>
  </si>
  <si>
    <t>BARRIO CRISTO REY CALLE 24 DE MAYO S/N VP1</t>
  </si>
  <si>
    <t>072952678</t>
  </si>
  <si>
    <t>compania5dejulio@hotmail.com</t>
  </si>
  <si>
    <t>1166</t>
  </si>
  <si>
    <t>0791738652001</t>
  </si>
  <si>
    <t>Calle: SUCRE N·mero: 418_x000D_
Intersecci¾n: COLON Y JUAN_x000D_
Calle: SUCRE N·mero: 418_x000D_
Intersecci¾n: COLON</t>
  </si>
  <si>
    <t>yadiajila76@hotmail.com</t>
  </si>
  <si>
    <t>1205</t>
  </si>
  <si>
    <t>1792882281001</t>
  </si>
  <si>
    <t>QUITO-SANTO DOMINGO DE CUTUGLAGUA CALLE H Y 7MA</t>
  </si>
  <si>
    <t>0986465907</t>
  </si>
  <si>
    <t>rubenlloacana1965@hotmail.com</t>
  </si>
  <si>
    <t>1147</t>
  </si>
  <si>
    <t>0791772478001</t>
  </si>
  <si>
    <t>0968978148</t>
  </si>
  <si>
    <t>orovema@yahoo.com</t>
  </si>
  <si>
    <t>1143</t>
  </si>
  <si>
    <t>0791754119001</t>
  </si>
  <si>
    <t>EL CAMBIO-AVENIDA SIMON BOLIVAR ENTRE 4TA Y 5TA SUR</t>
  </si>
  <si>
    <t>2992831</t>
  </si>
  <si>
    <t>comprobantessertradavi@gmail.com</t>
  </si>
  <si>
    <t>1224</t>
  </si>
  <si>
    <t>1792541395001</t>
  </si>
  <si>
    <t>COTACOLLAO/FLAVIO ALFARO Oe20-55 y CALLE H</t>
  </si>
  <si>
    <t>1237</t>
  </si>
  <si>
    <t>0791770742001</t>
  </si>
  <si>
    <t xml:space="preserve"> 0993476871</t>
  </si>
  <si>
    <t>CIUDADELA NUEVOS HORIZONTES SECTOR LA ALBORADA</t>
  </si>
  <si>
    <t>facturacion.transalborada@gmail.com</t>
  </si>
  <si>
    <t>1144</t>
  </si>
  <si>
    <t>0791752388001</t>
  </si>
  <si>
    <t>CIUDADELA LAS BRISAS NUMERO S/N</t>
  </si>
  <si>
    <t>Estefany_nieto@hotmail.com</t>
  </si>
  <si>
    <t>1262</t>
  </si>
  <si>
    <t>1792339510001</t>
  </si>
  <si>
    <t>CESAR VILLACRES Oe.10-158 Y EUSEBIO CONDE</t>
  </si>
  <si>
    <t>facturacion.herza.2019@gmail.com</t>
  </si>
  <si>
    <t>1279</t>
  </si>
  <si>
    <t>1792201195001</t>
  </si>
  <si>
    <t>San Juan de turubamba E4A LOTE 326 327 SN Y SN calle S62G</t>
  </si>
  <si>
    <t>cersavascula@gmail.com</t>
  </si>
  <si>
    <t>1179</t>
  </si>
  <si>
    <t>0791804272001</t>
  </si>
  <si>
    <t>AV.FERROVIARIA O / Y VIA AL CAMBIO</t>
  </si>
  <si>
    <t>1086</t>
  </si>
  <si>
    <t>0790092570001</t>
  </si>
  <si>
    <t>CONRIJU RIPIOS DEL JUBONES CIA.LTDA</t>
  </si>
  <si>
    <t>AVENIDA AZUAY S/N Y ORILLAS DEL RIO JUBONES</t>
  </si>
  <si>
    <t>1054</t>
  </si>
  <si>
    <t>1791251237001</t>
  </si>
  <si>
    <t>CONSORCIO ECUATORIANA DE TELECOMUNICANOS S.A. CONECEL</t>
  </si>
  <si>
    <t>AV.FCO.ORELLANA S/N Y AV.ALBERTO BORGES , EDIFICIO CENTRUM PLANTA BAJA PISOS 1,2,3,4</t>
  </si>
  <si>
    <t>1001</t>
  </si>
  <si>
    <t>9999999999999</t>
  </si>
  <si>
    <t>CONSUMIDOR FINAL</t>
  </si>
  <si>
    <t>NN</t>
  </si>
  <si>
    <t>2437874</t>
  </si>
  <si>
    <t>marychacha1986@gmail.com</t>
  </si>
  <si>
    <t>1289</t>
  </si>
  <si>
    <t>0992506717001</t>
  </si>
  <si>
    <t>CONTECON GUAYAQUIL SA</t>
  </si>
  <si>
    <t>VIA PUERTO MARITIMO AV. DE LA MARINA S/</t>
  </si>
  <si>
    <t>1266</t>
  </si>
  <si>
    <t>0691706710001</t>
  </si>
  <si>
    <t>COOPERATIVA DE AHORRO Y CREDITO FERNADO DAQUILEMA</t>
  </si>
  <si>
    <t>AVDA.25 DE JUNIO 629 Y TARQUI</t>
  </si>
  <si>
    <t>luismendoza@coopdaquilema.com</t>
  </si>
  <si>
    <t>1267</t>
  </si>
  <si>
    <t>0791799872001</t>
  </si>
  <si>
    <t>COOPERATIVA DE PRODUCCION AGRICOLA BANANEROS UNIDOS COBANU</t>
  </si>
  <si>
    <t xml:space="preserve"> AVENIDA LAS AMERICAS 529 Y CALLE A Y JOSE JARA</t>
  </si>
  <si>
    <t>cooperativacobanu@gmail.com</t>
  </si>
  <si>
    <t>1244</t>
  </si>
  <si>
    <t>1190028247001</t>
  </si>
  <si>
    <t>COOPERATIVA DE TRANSPORTE PESADO PUYANGO</t>
  </si>
  <si>
    <t>BABAHOYO Y ARIZAGA</t>
  </si>
  <si>
    <t>transportepuyango@gmail.com</t>
  </si>
  <si>
    <t>1189</t>
  </si>
  <si>
    <t>0190115798001</t>
  </si>
  <si>
    <t>COOPERATIVA JEP</t>
  </si>
  <si>
    <t>SUCRE 10-60 Y GENERAL TORRES</t>
  </si>
  <si>
    <t>4135000</t>
  </si>
  <si>
    <t>comprasjep@jep.coop</t>
  </si>
  <si>
    <t>1017</t>
  </si>
  <si>
    <t>0704513977</t>
  </si>
  <si>
    <t>CORONEL MIRANDA CLAUDIO CESAR</t>
  </si>
  <si>
    <t>BARBONES</t>
  </si>
  <si>
    <t>072950525</t>
  </si>
  <si>
    <t>carbaosa@outlook.com</t>
  </si>
  <si>
    <t>1245</t>
  </si>
  <si>
    <t>0704513977001</t>
  </si>
  <si>
    <t>m62.mariaesther@gmail.com</t>
  </si>
  <si>
    <t>1180</t>
  </si>
  <si>
    <t>0791743745001</t>
  </si>
  <si>
    <t>CORPORACION AGRICOLA BANAGREEN</t>
  </si>
  <si>
    <t>COLON SN Y AURELIO PRIETO Y ENRIQUE COELLO</t>
  </si>
  <si>
    <t>contabilidadbanagreen@gmail.com</t>
  </si>
  <si>
    <t>1261</t>
  </si>
  <si>
    <t>0190387739001</t>
  </si>
  <si>
    <t>CORPORACION BASC CAPITULO AZUAY</t>
  </si>
  <si>
    <t>av.solano 4-110,edificio cica, 4to piso,oficina 416</t>
  </si>
  <si>
    <t>CUENCA</t>
  </si>
  <si>
    <t>info@basc-azuay.org</t>
  </si>
  <si>
    <t>1105</t>
  </si>
  <si>
    <t>0990004196001</t>
  </si>
  <si>
    <t>CORPORACION EL ROSADO S.A.</t>
  </si>
  <si>
    <t>AV.9 DE OCTUBRE Y BOCAYACA 729 GUAYAQUIL</t>
  </si>
  <si>
    <t>1109</t>
  </si>
  <si>
    <t>1790016919001</t>
  </si>
  <si>
    <t>CORPORACION FAVORITA C.A.</t>
  </si>
  <si>
    <t>AV.GENERAL ENRIUEZ VIA COTOGCHOA</t>
  </si>
  <si>
    <t>1043</t>
  </si>
  <si>
    <t>1768152560001</t>
  </si>
  <si>
    <t>CORPORACION NACIONAL DE TELECOMUNICACIONES CNT EP</t>
  </si>
  <si>
    <t>VEINTIMILLA E4-66 Y AV AMAZONAS</t>
  </si>
  <si>
    <t>180-010010_</t>
  </si>
  <si>
    <t>facturacion@cnel.com</t>
  </si>
  <si>
    <t>E</t>
  </si>
  <si>
    <t>1231</t>
  </si>
  <si>
    <t>0791798450001</t>
  </si>
  <si>
    <t>CORPORACION VALDEZ &amp; ORDO?EZ COVALDORCA C.A.</t>
  </si>
  <si>
    <t>TENIENTE LEDESMA S/N</t>
  </si>
  <si>
    <t>0980847778</t>
  </si>
  <si>
    <t>covaldorca.oficina@gmail.com</t>
  </si>
  <si>
    <t>1187</t>
  </si>
  <si>
    <t>0790099931001</t>
  </si>
  <si>
    <t>COTISESA S A</t>
  </si>
  <si>
    <t>ENTRE ALFA A Y SIN CALLE SECUNDARIA</t>
  </si>
  <si>
    <t>0959424604</t>
  </si>
  <si>
    <t>cotisesacialtda@gmail.com</t>
  </si>
  <si>
    <t>1177</t>
  </si>
  <si>
    <t>0701905333001</t>
  </si>
  <si>
    <t>DAVILA AGUILERA MAURICIO FERNANDO</t>
  </si>
  <si>
    <t>VIA LA VIRGINIA S/N</t>
  </si>
  <si>
    <t>SANTA ROSA</t>
  </si>
  <si>
    <t>mauriciodavila_a@hotmail.com</t>
  </si>
  <si>
    <t>1273</t>
  </si>
  <si>
    <t>0101146165001</t>
  </si>
  <si>
    <t>DAVILA CALDERON MARCO VINICIO</t>
  </si>
  <si>
    <t>LA VICTORIA SITIO-RIO NEGRO S/N</t>
  </si>
  <si>
    <t>0993261236</t>
  </si>
  <si>
    <t>lavalarezo@yahoo.com</t>
  </si>
  <si>
    <t>1225</t>
  </si>
  <si>
    <t>0501930309001</t>
  </si>
  <si>
    <t>DAVILA MALDONADO ESTEBAN BAYARDO</t>
  </si>
  <si>
    <t>COTOPAXI / LATACUNGA / JOSEGUANGO BAJO / VIA PRINCIPAL S/N</t>
  </si>
  <si>
    <t>LATACUNGA</t>
  </si>
  <si>
    <t>administracion@donatobocatto.com</t>
  </si>
  <si>
    <t>1029</t>
  </si>
  <si>
    <t>0704899749</t>
  </si>
  <si>
    <t>DIEGO ARMANDOMENDIETA ROBLESDIEGO ARMANDO</t>
  </si>
  <si>
    <t>GUAYAS GUAYAQUIL TENGUEL KM 148 PANAMERICA SUR VIA GUAYAQUIL SN VIA LOS MICOS</t>
  </si>
  <si>
    <t>delabarreradiego@hotmail.com</t>
  </si>
  <si>
    <t>1158</t>
  </si>
  <si>
    <t>0963040811001</t>
  </si>
  <si>
    <t>DIEGO DE LA BARRERA GONZALEZ</t>
  </si>
  <si>
    <t>GUAYAS GUAYAQUIL TENGUEL KM 148 PANAMERICANA SUR VIA GUAYAQUIL SN VIA LOS MICOS</t>
  </si>
  <si>
    <t>1151</t>
  </si>
  <si>
    <t>1768049390001</t>
  </si>
  <si>
    <t>DIRECCION GENERAL DEL REGISTRO CIVIL INDENTIFICACION Y CEDUL</t>
  </si>
  <si>
    <t>AV.25 DE JUNIO SN Y JUAN MONTALVO</t>
  </si>
  <si>
    <t>1154</t>
  </si>
  <si>
    <t>0703979930001</t>
  </si>
  <si>
    <t>DISTRIBUIDORA CASTILLO DEL AHORRO SUCURSAL02</t>
  </si>
  <si>
    <t>EL GUABO/SUCRE S/N Y NUEVE DE OCTUBRE</t>
  </si>
  <si>
    <t>1074</t>
  </si>
  <si>
    <t>0790059441001</t>
  </si>
  <si>
    <t>EDITORIAL DEL SUR CIA LTDA</t>
  </si>
  <si>
    <t>JUNIN 506 Y KLEBER FRANCO</t>
  </si>
  <si>
    <t>recepcion@diariocorreo.com.ec</t>
  </si>
  <si>
    <t>1052</t>
  </si>
  <si>
    <t>0968599020001</t>
  </si>
  <si>
    <t>EMPRESA ELECTRICA PUBLICA ESTRATEGICA CORPORACION NACIONAL D</t>
  </si>
  <si>
    <t>MACHALA calle arizaga 1810 y santa rosa</t>
  </si>
  <si>
    <t>cnelep@hotmail.com</t>
  </si>
  <si>
    <t>1238</t>
  </si>
  <si>
    <t>0760050870001</t>
  </si>
  <si>
    <t>EMPRESA PUBLICA DE AGUA POTABLE Y ALCANTARILLADO DE EL GUABO</t>
  </si>
  <si>
    <t>EPAAGUA Sucre y 3 de Noviembre</t>
  </si>
  <si>
    <t>EMPRESA DE AGUA POTABLE</t>
  </si>
  <si>
    <t>1130</t>
  </si>
  <si>
    <t>0704326818001</t>
  </si>
  <si>
    <t>ESPINOZA CORNEJO HECTOR PATRICIO</t>
  </si>
  <si>
    <t>ciudadela la alborada enrique reinoso esquivel s/n</t>
  </si>
  <si>
    <t>sanaitransportsa@hotmail.com</t>
  </si>
  <si>
    <t>LAE0519</t>
  </si>
  <si>
    <t>1123</t>
  </si>
  <si>
    <t>0701341646001</t>
  </si>
  <si>
    <t>ESPINOZA RAMIREZ KLEBER DE LA CRUZ</t>
  </si>
  <si>
    <t>VIA GUAYAQUIL PADRE FLORENTINO S/N</t>
  </si>
  <si>
    <t>072951478</t>
  </si>
  <si>
    <t>1256</t>
  </si>
  <si>
    <t>0700989809001</t>
  </si>
  <si>
    <t>EUSTACIO SIRIO PALTIN CASTILLO</t>
  </si>
  <si>
    <t>lapaz-29@hotmail.com</t>
  </si>
  <si>
    <t>1240</t>
  </si>
  <si>
    <t>0791761093001</t>
  </si>
  <si>
    <t>EXPORTADORA BANANERA RIVID S A EXBANRIVID</t>
  </si>
  <si>
    <t>0981663915</t>
  </si>
  <si>
    <t>AV.25DE JUNIO ,VIA A PASAJE KM 1 1/2</t>
  </si>
  <si>
    <t>rividsa23@hotmail.com</t>
  </si>
  <si>
    <t>1183</t>
  </si>
  <si>
    <t>0992711639001</t>
  </si>
  <si>
    <t>EXPORTJAIME S.A.</t>
  </si>
  <si>
    <t>Cdla kennedy norte mz 802 sl8</t>
  </si>
  <si>
    <t>ealvarado@exportjaime.com</t>
  </si>
  <si>
    <t>1163</t>
  </si>
  <si>
    <t>0703980532001</t>
  </si>
  <si>
    <t>FABIOLA SABRINA BELDUMA VALLE</t>
  </si>
  <si>
    <t>sabribel80@hotmail.com</t>
  </si>
  <si>
    <t>FINCA MALVAL</t>
  </si>
  <si>
    <t>1227</t>
  </si>
  <si>
    <t>0704374586001</t>
  </si>
  <si>
    <t>GALLARDO AGUILAR EMANUEL ANDRES</t>
  </si>
  <si>
    <t>0959073167</t>
  </si>
  <si>
    <t>BABAHOYO ENTRE KLEBER FRANCO Y 5TA NORTE</t>
  </si>
  <si>
    <t>bodeguitadelahorro@gmail.com</t>
  </si>
  <si>
    <t>LA BODEGUITA DEL AHORRO</t>
  </si>
  <si>
    <t>1208</t>
  </si>
  <si>
    <t>0704045160001</t>
  </si>
  <si>
    <t>GALLARDO TINOCO JUAN LUIS</t>
  </si>
  <si>
    <t>BUENAVISTA S/N CALLE VALENCIA</t>
  </si>
  <si>
    <t>hilarypallets@gmail.com</t>
  </si>
  <si>
    <t>1128</t>
  </si>
  <si>
    <t>0705329522001</t>
  </si>
  <si>
    <t>GALLEGOS CHAMBA ARMANDO FABRICIO</t>
  </si>
  <si>
    <t>LA IBERIA S/N Y OLMEDO</t>
  </si>
  <si>
    <t>fabri1989armando@hotmail.com</t>
  </si>
  <si>
    <t>1132</t>
  </si>
  <si>
    <t>0701195398001</t>
  </si>
  <si>
    <t>GALLEGOS JULIA ENITH</t>
  </si>
  <si>
    <t>BARRIO JUANA MORA ,JOSE MOLESTINA E/ZARUMA Y LA F</t>
  </si>
  <si>
    <t>johny23nieves@gmail.com</t>
  </si>
  <si>
    <t>GKA0299</t>
  </si>
  <si>
    <t>1214</t>
  </si>
  <si>
    <t>0700691496001</t>
  </si>
  <si>
    <t>GAONA CORDOVA SOFIA EUNICE</t>
  </si>
  <si>
    <t>JUAN MONTALVO S/N Y AVENIDA ROCAFUERTE</t>
  </si>
  <si>
    <t>RESTAURANTE LAS ACACIAS</t>
  </si>
  <si>
    <t>1197</t>
  </si>
  <si>
    <t>0701176091001</t>
  </si>
  <si>
    <t>GARCIA ROMERO SERGIO FERNANDO IGNACIO</t>
  </si>
  <si>
    <t>LA VICTORIA</t>
  </si>
  <si>
    <t>danny_fernando1993@yahoo.es</t>
  </si>
  <si>
    <t>FINCA LA VICTORIA</t>
  </si>
  <si>
    <t>1167</t>
  </si>
  <si>
    <t>0703917526001</t>
  </si>
  <si>
    <t>GOMEZ PELAEZ JULIO PATRICIO</t>
  </si>
  <si>
    <t>EL ORO / EL GUABO / EL GUABO / VIA A BOCATOMA S/N Y SECUNDARIA</t>
  </si>
  <si>
    <t>gpjulio2013@hotmail.com</t>
  </si>
  <si>
    <t>1101</t>
  </si>
  <si>
    <t>1103960991001</t>
  </si>
  <si>
    <t>GONZALEZ ARMIJOS RAMIRO VINICIO</t>
  </si>
  <si>
    <t>S/N URBANIZACION CRISTO REY</t>
  </si>
  <si>
    <t>1201</t>
  </si>
  <si>
    <t>0701239758001</t>
  </si>
  <si>
    <t>GONZALEZ ERREYES ROQUE EUDOFILIO</t>
  </si>
  <si>
    <t>barrio 30 de abril ,junto a la escuela espiritu santo</t>
  </si>
  <si>
    <t>roque.gonzalez.e58@gmail.com</t>
  </si>
  <si>
    <t>1200</t>
  </si>
  <si>
    <t>0791706521001</t>
  </si>
  <si>
    <t>GUATRAPE S.A.</t>
  </si>
  <si>
    <t>24 DE MAYO S/N</t>
  </si>
  <si>
    <t>guatrape@hotmail.com</t>
  </si>
  <si>
    <t>1251</t>
  </si>
  <si>
    <t>0706256708</t>
  </si>
  <si>
    <t>GUERRERO SANCHEZ TATIANA</t>
  </si>
  <si>
    <t>AV PANAMERICANA</t>
  </si>
  <si>
    <t>1164</t>
  </si>
  <si>
    <t>0993296244001</t>
  </si>
  <si>
    <t>HACIENDA NUEVA ERA HACNUERA S.A.</t>
  </si>
  <si>
    <t>AGUIRRE 324 Y CHILE</t>
  </si>
  <si>
    <t>edin0904@gmail.com</t>
  </si>
  <si>
    <t>1252</t>
  </si>
  <si>
    <t>1717236838001</t>
  </si>
  <si>
    <t>HAOBIN PAN</t>
  </si>
  <si>
    <t>TARQUI 1606 Y SUCRE</t>
  </si>
  <si>
    <t>1186</t>
  </si>
  <si>
    <t>0705118164001</t>
  </si>
  <si>
    <t>HEREDIA QUEZADA CRISTOBAL FABIAN</t>
  </si>
  <si>
    <t>CIUDAD VERDE</t>
  </si>
  <si>
    <t>Cristobalheredia2020@gmail.com</t>
  </si>
  <si>
    <t>1285</t>
  </si>
  <si>
    <t>0705237675001</t>
  </si>
  <si>
    <t>HONG XIAOFAN</t>
  </si>
  <si>
    <t>EL ORO / MACHALA / LA PROVIDENCIA / CDLA LAS_x000D_
BRISAS MZ F9</t>
  </si>
  <si>
    <t>IMPORTADORA ZHENG</t>
  </si>
  <si>
    <t>1094</t>
  </si>
  <si>
    <t>0790046072001</t>
  </si>
  <si>
    <t>IMPORTADORA DE MATERIALES DE CONSTRUCION CIA LTDA</t>
  </si>
  <si>
    <t>AVENIDA 25 DE JUNIO DIAGINAL A URBANIZACION SANTA INES</t>
  </si>
  <si>
    <t>098 436 2467</t>
  </si>
  <si>
    <t>IMACO</t>
  </si>
  <si>
    <t>1277</t>
  </si>
  <si>
    <t>1716407034001</t>
  </si>
  <si>
    <t>IMPORTADORA ZHUO</t>
  </si>
  <si>
    <t>2968960</t>
  </si>
  <si>
    <t>ARIZAGA Y TARQUI</t>
  </si>
  <si>
    <t>zhuorepuesto@yahoo.com</t>
  </si>
  <si>
    <t>ZHUO YAO GUOLONG</t>
  </si>
  <si>
    <t>1258</t>
  </si>
  <si>
    <t>0703886713001</t>
  </si>
  <si>
    <t>IMPRENTA Y PUBLICIDAD PIXEL CREATIVE</t>
  </si>
  <si>
    <t>BARRIO 30 DE ABRIL AVENIDA  DEL EJERCITO S/N</t>
  </si>
  <si>
    <t>SOLANO HERAS CRISTIAN DAVID</t>
  </si>
  <si>
    <t>1004</t>
  </si>
  <si>
    <t>0791717884001</t>
  </si>
  <si>
    <t>INDUSTRIA CARTONERA PALMAR S.A.</t>
  </si>
  <si>
    <t>AV 25 DE JUNIO KM 4.5 VIA PASAJE</t>
  </si>
  <si>
    <t>072-993009_</t>
  </si>
  <si>
    <t>cesarvicuna@incarpalm.com.ec</t>
  </si>
  <si>
    <t>1230</t>
  </si>
  <si>
    <t>0790083504001</t>
  </si>
  <si>
    <t>INVERSIONES SAN MARTIN CUENCA INSAC C. LTDA</t>
  </si>
  <si>
    <t>SUCRE Y JUNIN</t>
  </si>
  <si>
    <t>insanc@hotmail.com</t>
  </si>
  <si>
    <t>1241</t>
  </si>
  <si>
    <t>0190340449001</t>
  </si>
  <si>
    <t>ITALIMENTOS CIA.LTDA</t>
  </si>
  <si>
    <t>AZUAY / CUENCA / HERMANO MIGUEL / AV. OCTAVIO CHACON MOSCOSO 4-103 Y V═A A PATAMARCA</t>
  </si>
  <si>
    <t>1253</t>
  </si>
  <si>
    <t>0704223833001</t>
  </si>
  <si>
    <t>CUBA NUMERO :510 INTERSECCIOIN :7MA. Y 6TA</t>
  </si>
  <si>
    <t>1148</t>
  </si>
  <si>
    <t>0791746825001</t>
  </si>
  <si>
    <t>JESICA TRANSPORTE DE CARGA PESADA JESTRANSCAR S.A.</t>
  </si>
  <si>
    <t>SANTA ROSA S/N Y CALLEJON C</t>
  </si>
  <si>
    <t>jesicaalvarezjestranscar@hotmail.com</t>
  </si>
  <si>
    <t>1078</t>
  </si>
  <si>
    <t>0703612325001</t>
  </si>
  <si>
    <t>JIMA GAVILANES ESTRELLA ELIZABETH</t>
  </si>
  <si>
    <t>EL GUABO-EL ORO-ECUADOR</t>
  </si>
  <si>
    <t>1287</t>
  </si>
  <si>
    <t>0703883769001</t>
  </si>
  <si>
    <t>JOSÚ LUIS MARTÝNEZ MARTÝNEZ</t>
  </si>
  <si>
    <t>0986323536</t>
  </si>
  <si>
    <t>EL GUABO / LOS RIOS Y PANAMERICANA</t>
  </si>
  <si>
    <t>pepes1987martinez@gmail.com</t>
  </si>
  <si>
    <t>1291</t>
  </si>
  <si>
    <t>0992411147001</t>
  </si>
  <si>
    <t>KEYTEL S.A</t>
  </si>
  <si>
    <t>Cdla la Garzota Mz.111B Solar 8</t>
  </si>
  <si>
    <t>1099</t>
  </si>
  <si>
    <t>0902821446001</t>
  </si>
  <si>
    <t>LAAZ ANGEL RAMON</t>
  </si>
  <si>
    <t>LA IBERIA S/N</t>
  </si>
  <si>
    <t>2928337</t>
  </si>
  <si>
    <t>transcar_sa@yahoo.es</t>
  </si>
  <si>
    <t>1127</t>
  </si>
  <si>
    <t>1205708421001</t>
  </si>
  <si>
    <t>LARA REYES SANTIAGO EDITOR</t>
  </si>
  <si>
    <t>1153</t>
  </si>
  <si>
    <t>0992247525001</t>
  </si>
  <si>
    <t>LISTOSOFT</t>
  </si>
  <si>
    <t>0983711095</t>
  </si>
  <si>
    <t>BELLEVISTA MZ 7 VILLA 6</t>
  </si>
  <si>
    <t>jsveloz@listosoft.com</t>
  </si>
  <si>
    <t>1292</t>
  </si>
  <si>
    <t>0102264959001</t>
  </si>
  <si>
    <t>LUCERO DELGADO GERMAN ESTEBAN</t>
  </si>
  <si>
    <t>KM 8 1/2 VIA QUEVEDO-BUENA FE</t>
  </si>
  <si>
    <t>QUEVEDO</t>
  </si>
  <si>
    <t>bananerabanasol@gmail.com</t>
  </si>
  <si>
    <t>1165</t>
  </si>
  <si>
    <t>0102810710001</t>
  </si>
  <si>
    <t>MALDONADO MALDONADO HONORIO SECUNDINO</t>
  </si>
  <si>
    <t>TARQUI 605 / NORTE</t>
  </si>
  <si>
    <t>honorio2568@hotmail.com</t>
  </si>
  <si>
    <t>1172</t>
  </si>
  <si>
    <t>0701794976001</t>
  </si>
  <si>
    <t>MALDONADO RODRIGUEZ MAX ENRIQUE</t>
  </si>
  <si>
    <t>PARROQUIA TENGUEL S/N SITIO SAN RAFAEL</t>
  </si>
  <si>
    <t>maxen1963@hotmail.com</t>
  </si>
  <si>
    <t>1087</t>
  </si>
  <si>
    <t>0791829771001</t>
  </si>
  <si>
    <t>MEGAUNIMAC CIA .LTDA.</t>
  </si>
  <si>
    <t>PANAMERICA SUR S/N VIA GUAYAQUIL</t>
  </si>
  <si>
    <t>macas@hotmail.com</t>
  </si>
  <si>
    <t>1070</t>
  </si>
  <si>
    <t>0703982777001</t>
  </si>
  <si>
    <t>MENDOZA LINDAO VERONICA MARIA</t>
  </si>
  <si>
    <t>PASAJE S/N</t>
  </si>
  <si>
    <t>1264</t>
  </si>
  <si>
    <t>0190304647001</t>
  </si>
  <si>
    <t>MI TIENDA REYES PESANTEZ Y COMPANIA</t>
  </si>
  <si>
    <t>Av. Panamericana y 24 de Enero</t>
  </si>
  <si>
    <t>1178</t>
  </si>
  <si>
    <t>0701861775001</t>
  </si>
  <si>
    <t>MINUCHE TRUJILLO ROBERTO JAVIER ABRAHAM</t>
  </si>
  <si>
    <t>AV.25 DE JUNIO</t>
  </si>
  <si>
    <t>rja_minuche@hotmail.com</t>
  </si>
  <si>
    <t>1062</t>
  </si>
  <si>
    <t>0700155534001</t>
  </si>
  <si>
    <t>MIRANDA FAJARDO VICTOR MIRANNDA</t>
  </si>
  <si>
    <t>VIA AL NARANJO LOS CIRUELOS</t>
  </si>
  <si>
    <t>2950468</t>
  </si>
  <si>
    <t>1213</t>
  </si>
  <si>
    <t>0701011330001</t>
  </si>
  <si>
    <t>MOLINA ANGELINA DEL CARMEN</t>
  </si>
  <si>
    <t>MACHALA  PICHINCHA S/N Y NAPOLEON MERA OY SIN CALLE SEC</t>
  </si>
  <si>
    <t>CHICHITO</t>
  </si>
  <si>
    <t>1246</t>
  </si>
  <si>
    <t>0791745624001</t>
  </si>
  <si>
    <t>MORA MARICH CIA.LTDA</t>
  </si>
  <si>
    <t>Urbanizacion la Carolina N░23 MZ LCI</t>
  </si>
  <si>
    <t>moramarich2024@gmail.com</t>
  </si>
  <si>
    <t>1255</t>
  </si>
  <si>
    <t>0703109736001</t>
  </si>
  <si>
    <t>MORA SANCHEZ VERONICA PAOLA</t>
  </si>
  <si>
    <t>Urbanizaci¾n portal del RÝo</t>
  </si>
  <si>
    <t>verito_mora_1975@hotmail.com</t>
  </si>
  <si>
    <t>1085</t>
  </si>
  <si>
    <t>0702762220001</t>
  </si>
  <si>
    <t>MORAN PACAJI ARTURO ENRIQUE</t>
  </si>
  <si>
    <t>PASAJE-EL ORO</t>
  </si>
  <si>
    <t>arturomoran140@gmail.com</t>
  </si>
  <si>
    <t>PZC0278</t>
  </si>
  <si>
    <t>1125</t>
  </si>
  <si>
    <t>0913263315001</t>
  </si>
  <si>
    <t>MOREIRA BLACIO ROOSEBERT ANTONIO</t>
  </si>
  <si>
    <t>roosebert_mb@hotmail.com</t>
  </si>
  <si>
    <t>ABC1286</t>
  </si>
  <si>
    <t>1133</t>
  </si>
  <si>
    <t>0700819220001</t>
  </si>
  <si>
    <t>MOSQUERA CAJAMARCA HUGO GERMAN</t>
  </si>
  <si>
    <t>23 DE ABRIL S/N Y ZARUMA</t>
  </si>
  <si>
    <t>1233</t>
  </si>
  <si>
    <t>0702502287001</t>
  </si>
  <si>
    <t>PASAJE S/N Y GENERAL SERRANO</t>
  </si>
  <si>
    <t>estuardo.lui@hotmail.com</t>
  </si>
  <si>
    <t>VENTA AL POR MENOR DE ARTICULOS DE FERRETERIA</t>
  </si>
  <si>
    <t>1095</t>
  </si>
  <si>
    <t>0704088756001</t>
  </si>
  <si>
    <t>NAGUAS PARRA JEFFERSON ELIECER</t>
  </si>
  <si>
    <t>S/N SITIO SANTA LUCIA</t>
  </si>
  <si>
    <t>0986537909</t>
  </si>
  <si>
    <t>1066</t>
  </si>
  <si>
    <t>0705517035001</t>
  </si>
  <si>
    <t>NARANJO SALASAR JENNER CESAR</t>
  </si>
  <si>
    <t>SANTA ROSA 1001 Y OCTOVA NORTE</t>
  </si>
  <si>
    <t>cecilia.naranjo72@hotmail.com</t>
  </si>
  <si>
    <t>1211</t>
  </si>
  <si>
    <t>0791841797001</t>
  </si>
  <si>
    <t>NAUDYFLOWER S.A.S.</t>
  </si>
  <si>
    <t>HUAQUILLAS MILTON REYES</t>
  </si>
  <si>
    <t>HUAQUILLAS</t>
  </si>
  <si>
    <t>naudy2222@hotmail.com</t>
  </si>
  <si>
    <t>1071</t>
  </si>
  <si>
    <t>0703144832001</t>
  </si>
  <si>
    <t>NAVARRETE CHALEN CRISTHIAN EDISON</t>
  </si>
  <si>
    <t>BARRIO 16 DE NOVIEMBRE</t>
  </si>
  <si>
    <t>osita17102001@gmail.com</t>
  </si>
  <si>
    <t>1134</t>
  </si>
  <si>
    <t>0704326313001</t>
  </si>
  <si>
    <t>NAVARRETE LEON HENRY FERNANDA</t>
  </si>
  <si>
    <t>Santa Rosa 2235 E/Av.Manuel Serrano Y Arizaga</t>
  </si>
  <si>
    <t>1282</t>
  </si>
  <si>
    <t>0705196897001</t>
  </si>
  <si>
    <t>OJEDA PALAS CARLOS DAVID</t>
  </si>
  <si>
    <t>MACHALA BOLIVAR Y 9 DE MAYO</t>
  </si>
  <si>
    <t>CARLOS CELL</t>
  </si>
  <si>
    <t>1229</t>
  </si>
  <si>
    <t>0700862410001</t>
  </si>
  <si>
    <t xml:space="preserve"> EL CAMBIO / S/N</t>
  </si>
  <si>
    <t>agrorve@hotmail.com</t>
  </si>
  <si>
    <t>1286</t>
  </si>
  <si>
    <t>0790103122001</t>
  </si>
  <si>
    <t>ORODIESEL C LTDA</t>
  </si>
  <si>
    <t xml:space="preserve"> 0998080051</t>
  </si>
  <si>
    <t>ventas@orodiesel.com</t>
  </si>
  <si>
    <t>1228</t>
  </si>
  <si>
    <t>0701667172001</t>
  </si>
  <si>
    <t>ORTIZ SALAZAR BETTY ARACELY</t>
  </si>
  <si>
    <t>9 DE OCTUBRE E/ SUCRE Y GENERAL SERRANO</t>
  </si>
  <si>
    <t>ALMACEN DE PINTURAS LA CASA DEL COLOR</t>
  </si>
  <si>
    <t>1257</t>
  </si>
  <si>
    <t>0702626474001</t>
  </si>
  <si>
    <t>PACHAR MANTOANO GLADYS MIRELLA</t>
  </si>
  <si>
    <t>0968877396</t>
  </si>
  <si>
    <t>BARRIO RIO SECO</t>
  </si>
  <si>
    <t>mirleysithap2002@gmail.com</t>
  </si>
  <si>
    <t>CASA DEPORTIVA LA CUATRO MIL</t>
  </si>
  <si>
    <t>1053</t>
  </si>
  <si>
    <t>0703822650001</t>
  </si>
  <si>
    <t>PALACIOS TORRES JOSE MIGUEL</t>
  </si>
  <si>
    <t>0985596753</t>
  </si>
  <si>
    <t>SITIO TILLALES S/N DIAGONAL A CANCHA DE FUTBOL</t>
  </si>
  <si>
    <t>072950235</t>
  </si>
  <si>
    <t>trabajoec_josemiguel@hotmail.com</t>
  </si>
  <si>
    <t>1156</t>
  </si>
  <si>
    <t>0704136837001</t>
  </si>
  <si>
    <t>PALMA AQUINO SAIDY LADY</t>
  </si>
  <si>
    <t>GUSTAVO SERRANO Y ERROL CARTWRIGH</t>
  </si>
  <si>
    <t>gramv18@outlook.com</t>
  </si>
  <si>
    <t>1124</t>
  </si>
  <si>
    <t>0702852336001</t>
  </si>
  <si>
    <t>PAUCAR JOSE ANTONIO</t>
  </si>
  <si>
    <t>1221</t>
  </si>
  <si>
    <t>0704771328001</t>
  </si>
  <si>
    <t>AVDA AZUAY E/MACHALA Y OCHOA LEON</t>
  </si>
  <si>
    <t>IMPRENTA Y LIBRERIA OCHOA LEON</t>
  </si>
  <si>
    <t>1275</t>
  </si>
  <si>
    <t>0702679267001</t>
  </si>
  <si>
    <t>PEREIRA FERNANDEZ JORGE ALBERTO</t>
  </si>
  <si>
    <t>MARCEL LANIADO Y CIRCULACION NORTE</t>
  </si>
  <si>
    <t>CULTIVO DE BANANOS Y PL┴TANOS.</t>
  </si>
  <si>
    <t>1139</t>
  </si>
  <si>
    <t>0702542960001</t>
  </si>
  <si>
    <t>PEREZ PEREZ ELENA VICTORIA</t>
  </si>
  <si>
    <t>EL CAMBIO S/N</t>
  </si>
  <si>
    <t>nrbpje1970@gmail.com</t>
  </si>
  <si>
    <t>1096</t>
  </si>
  <si>
    <t>0704430123001</t>
  </si>
  <si>
    <t>PINEDA MEJIA ITALO SIMON</t>
  </si>
  <si>
    <t>SUCRE S/N Y MACHALA</t>
  </si>
  <si>
    <t>09888080078</t>
  </si>
  <si>
    <t>italocell86@hotmail.com</t>
  </si>
  <si>
    <t>1276</t>
  </si>
  <si>
    <t>0707076295001</t>
  </si>
  <si>
    <t>PINEDA MEJIA ROGER JOSUE</t>
  </si>
  <si>
    <t>SUCRE SN Y AV DEL EJERCIO</t>
  </si>
  <si>
    <t>TECNICell</t>
  </si>
  <si>
    <t>1056</t>
  </si>
  <si>
    <t>0705795268001</t>
  </si>
  <si>
    <t>PINTADO GILER ALEXANDRA ELIZABETH</t>
  </si>
  <si>
    <t>SITIO  SANTA LUCIA DE MARAVILLAC</t>
  </si>
  <si>
    <t>0993318002</t>
  </si>
  <si>
    <t>alexababy1992@hotmail.com</t>
  </si>
  <si>
    <t>1271</t>
  </si>
  <si>
    <t>0992615451001</t>
  </si>
  <si>
    <t>PLASTIVILL S.A.</t>
  </si>
  <si>
    <t>KM 14.5 VIA AL PAN</t>
  </si>
  <si>
    <t>MILAGRO</t>
  </si>
  <si>
    <t>heidy.guerrero@plastivill.com</t>
  </si>
  <si>
    <t>1280</t>
  </si>
  <si>
    <t>0702102377001</t>
  </si>
  <si>
    <t>POGGIO REYES ANTONIO DOMINGO</t>
  </si>
  <si>
    <t>EL GUABO / SIN NOMBRE S/N</t>
  </si>
  <si>
    <t>1073</t>
  </si>
  <si>
    <t>0701291874001</t>
  </si>
  <si>
    <t>PONCE GONZALEZ LIDIA MERCEDES</t>
  </si>
  <si>
    <t>CALLE OLMEDO S/N Y AYACUCHO</t>
  </si>
  <si>
    <t>lidiaponce60@hotmail.com</t>
  </si>
  <si>
    <t>1194</t>
  </si>
  <si>
    <t>0990000530001</t>
  </si>
  <si>
    <t>PYCCA S.A.</t>
  </si>
  <si>
    <t>BOYACA 1205 Y AV.9 DE OCTUBRE-VELEZ</t>
  </si>
  <si>
    <t>1075</t>
  </si>
  <si>
    <t>0701455941001</t>
  </si>
  <si>
    <t>QUEZADA  AGUILAR CAMILO AMADOR</t>
  </si>
  <si>
    <t>palestina s/n</t>
  </si>
  <si>
    <t>0993309496</t>
  </si>
  <si>
    <t>olgamarilin2014@hotmail.com</t>
  </si>
  <si>
    <t>1193</t>
  </si>
  <si>
    <t>0702386772001</t>
  </si>
  <si>
    <t>QUEZADA ALVARADO NELLY</t>
  </si>
  <si>
    <t>EL CAMBIO / S/N</t>
  </si>
  <si>
    <t>nellyquezada97@gmail.com</t>
  </si>
  <si>
    <t>1184</t>
  </si>
  <si>
    <t>0701449217001</t>
  </si>
  <si>
    <t>QUEZADA ARIAS JAIME ROMAN</t>
  </si>
  <si>
    <t>EL CAMBIO SITIO LA UNION BARRIADA SANTA FE</t>
  </si>
  <si>
    <t>0988802059</t>
  </si>
  <si>
    <t>jaimeromanquezada@hotmail.es</t>
  </si>
  <si>
    <t>1270</t>
  </si>
  <si>
    <t>0703521864001</t>
  </si>
  <si>
    <t>QUEZADA CHUCHUCA  JOSE LUIS</t>
  </si>
  <si>
    <t>GUAYAS Y 11 AVA NORTE</t>
  </si>
  <si>
    <t>yasmine.ke1985@gmail.com</t>
  </si>
  <si>
    <t>1162</t>
  </si>
  <si>
    <t>0704401876001</t>
  </si>
  <si>
    <t>0980785558</t>
  </si>
  <si>
    <t>AV.PANAMERICA SN RECINTO SAN CARLOS JUNTO A COMERCIAL SALINAS</t>
  </si>
  <si>
    <t>luisquinde1982@gmail.com</t>
  </si>
  <si>
    <t>1088</t>
  </si>
  <si>
    <t>0702877135001</t>
  </si>
  <si>
    <t>RAMON QUEZADA MANUEL BOLIVAR</t>
  </si>
  <si>
    <t>MACHALA S/N E/ AZUAY Y ELOY ALFARO</t>
  </si>
  <si>
    <t>072918828</t>
  </si>
  <si>
    <t>1080</t>
  </si>
  <si>
    <t>0703815324001</t>
  </si>
  <si>
    <t>RAMON RIVAS FABRICIO KLINFOR</t>
  </si>
  <si>
    <t>0981611642</t>
  </si>
  <si>
    <t>BUENOS AIRES S/N Y AV 6 DE AGOSTO Y 5 DE JUNIO</t>
  </si>
  <si>
    <t>framonr1986@hotmail.com</t>
  </si>
  <si>
    <t>1243</t>
  </si>
  <si>
    <t>0700939820001</t>
  </si>
  <si>
    <t>RAMON SANMARTIN EDGAR EDUARDO</t>
  </si>
  <si>
    <t>OCHOA LEON S/N Y ROCAFUERTE</t>
  </si>
  <si>
    <t>dredgaramonhd55@hotmail.com</t>
  </si>
  <si>
    <t>1064</t>
  </si>
  <si>
    <t>1002235735001</t>
  </si>
  <si>
    <t>RAMOS SIMBA WILLIAN PATRICIO</t>
  </si>
  <si>
    <t>DURAN CARDENAS S/N Y MANUEL CARRERA</t>
  </si>
  <si>
    <t>AMBATO</t>
  </si>
  <si>
    <t>ramossimba@outlook.com</t>
  </si>
  <si>
    <t>1242</t>
  </si>
  <si>
    <t>0791800463001</t>
  </si>
  <si>
    <t>RECICLADORA DE METALES DEL SUR REMISURSA S A</t>
  </si>
  <si>
    <t>0939501719</t>
  </si>
  <si>
    <t>vÝa balosa, cdla el rosario</t>
  </si>
  <si>
    <t>remisursa@gmail.com</t>
  </si>
  <si>
    <t>REMISURSA</t>
  </si>
  <si>
    <t>1161</t>
  </si>
  <si>
    <t>0701486839001</t>
  </si>
  <si>
    <t>REINOSO CASTILLO GONZALO WLADIMIR</t>
  </si>
  <si>
    <t>EL ORO / MACHALA / MACHALA / BOYACA S/N Y PAEZ</t>
  </si>
  <si>
    <t>greinoso74@gmail.com</t>
  </si>
  <si>
    <t>1226</t>
  </si>
  <si>
    <t>0704511740001</t>
  </si>
  <si>
    <t>RICO RODRIGUEZ ALBERTO ESMAIKLER</t>
  </si>
  <si>
    <t>0990945133</t>
  </si>
  <si>
    <t>sitio casa azul</t>
  </si>
  <si>
    <t>patty_ques@hotmail.com</t>
  </si>
  <si>
    <t>1269</t>
  </si>
  <si>
    <t>0705057990001</t>
  </si>
  <si>
    <t>RIVAS BELESACA ARACELY CAROLINA</t>
  </si>
  <si>
    <t>carol2010.ec@gmail.com</t>
  </si>
  <si>
    <t>1168</t>
  </si>
  <si>
    <t>0700291214001</t>
  </si>
  <si>
    <t>RIVERA UGARTE FRANCISCO ALFONSO</t>
  </si>
  <si>
    <t>BUENAVISTA</t>
  </si>
  <si>
    <t>haciendaelzapote@yahoo.com</t>
  </si>
  <si>
    <t>1203</t>
  </si>
  <si>
    <t>0701283129001</t>
  </si>
  <si>
    <t>RODRIGUEZ POLANCO ROSA SABINA</t>
  </si>
  <si>
    <t>rosarodriguez_1956@outlook.com</t>
  </si>
  <si>
    <t>1149</t>
  </si>
  <si>
    <t>0701848665001</t>
  </si>
  <si>
    <t>RODRIGUEZ ROMERO FAUSTO ALEX</t>
  </si>
  <si>
    <t>GENERAL CORDOVA Y 2DA NORTE / MACHALA</t>
  </si>
  <si>
    <t>rodriguezelectronicos2019@gmail.com</t>
  </si>
  <si>
    <t>1182</t>
  </si>
  <si>
    <t>0704119296001</t>
  </si>
  <si>
    <t>ROMERO MACAS GLENDA MAGALY</t>
  </si>
  <si>
    <t>072162055</t>
  </si>
  <si>
    <t>MACHALA COLON Y NOVENA SUR</t>
  </si>
  <si>
    <t>0958963952</t>
  </si>
  <si>
    <t>glenda_rom@hotmail.com</t>
  </si>
  <si>
    <t>1072</t>
  </si>
  <si>
    <t>0151499324001</t>
  </si>
  <si>
    <t>ROSALES MENDEZ YANDIRA</t>
  </si>
  <si>
    <t>1100</t>
  </si>
  <si>
    <t>0701313678001</t>
  </si>
  <si>
    <t>SALINAS VALAREZO FRANCISCO EVELIO</t>
  </si>
  <si>
    <t>0994349225</t>
  </si>
  <si>
    <t>1150</t>
  </si>
  <si>
    <t>0701496184001</t>
  </si>
  <si>
    <t>SAMANIEGO CHACON BENJAMIN ELISENDO</t>
  </si>
  <si>
    <t>SANTA ROSA S/N Y CALLE C</t>
  </si>
  <si>
    <t>1140</t>
  </si>
  <si>
    <t>0702559816001</t>
  </si>
  <si>
    <t>SANCHEZ NAGUA DARWIN ANIBAL</t>
  </si>
  <si>
    <t>0967801498</t>
  </si>
  <si>
    <t>Teniente Ledesma</t>
  </si>
  <si>
    <t>darsan9@yahoo.es</t>
  </si>
  <si>
    <t>1250</t>
  </si>
  <si>
    <t>0704790096001</t>
  </si>
  <si>
    <t>SANCHEZ RIVAS EDWIN JAVIER</t>
  </si>
  <si>
    <t>0999777426</t>
  </si>
  <si>
    <t>Calle S/N y VÝa El Naranjo  ( Tendales)</t>
  </si>
  <si>
    <t>(07) 3081180</t>
  </si>
  <si>
    <t>ejsr.contabilidad@gmail.com</t>
  </si>
  <si>
    <t>1278</t>
  </si>
  <si>
    <t>0702735895001</t>
  </si>
  <si>
    <t>SARANGO SALAZAR MIRELLA SELENE</t>
  </si>
  <si>
    <t>Buenavista y BolÝvar</t>
  </si>
  <si>
    <t>selenesarango6@gmail.com</t>
  </si>
  <si>
    <t>1091</t>
  </si>
  <si>
    <t>1711680569001</t>
  </si>
  <si>
    <t>SARITAMA ELIZALDE MAURICIO ALBERTO</t>
  </si>
  <si>
    <t>LA IBERIA</t>
  </si>
  <si>
    <t>1259</t>
  </si>
  <si>
    <t>0702126087001</t>
  </si>
  <si>
    <t>SERRANO RIZZO FAUSTO</t>
  </si>
  <si>
    <t xml:space="preserve"> 9 de octubre avenidaádeláejÚrcito</t>
  </si>
  <si>
    <t>Fausto_erick@hotmail.com</t>
  </si>
  <si>
    <t>1222</t>
  </si>
  <si>
    <t>0791725208001</t>
  </si>
  <si>
    <t>SERVICIOS Y TRANSPORTE FIDAP S A</t>
  </si>
  <si>
    <t>cuidadela  rumi±ahui s/n</t>
  </si>
  <si>
    <t>companiafidap@hotmail.com</t>
  </si>
  <si>
    <t>1141</t>
  </si>
  <si>
    <t>0791745128001</t>
  </si>
  <si>
    <t>SERVIEXPORT</t>
  </si>
  <si>
    <t>GUABO 901 Y PAEZ</t>
  </si>
  <si>
    <t>facturamoscoso@hotmail.com</t>
  </si>
  <si>
    <t>1169</t>
  </si>
  <si>
    <t>1191747506001</t>
  </si>
  <si>
    <t>SERVITRILER ASPE S.A.</t>
  </si>
  <si>
    <t>ROCAFUERTE 02-118 Y AV ORILLAS DEL ZAMARA</t>
  </si>
  <si>
    <t>LOJA</t>
  </si>
  <si>
    <t>servitrailer_aspe@hotmail.com</t>
  </si>
  <si>
    <t>1212</t>
  </si>
  <si>
    <t>0790089375001</t>
  </si>
  <si>
    <t>SINDICATO CANTONAL DE CHOFERES PROFESIONALES DEL CANTON EL G</t>
  </si>
  <si>
    <t>VIA GUABO MACHALA SITIO TILLALES</t>
  </si>
  <si>
    <t>0967554429</t>
  </si>
  <si>
    <t>1295</t>
  </si>
  <si>
    <t>0791755220001</t>
  </si>
  <si>
    <t>SOCIEDAD CIVIL MINERA GOLDMINS</t>
  </si>
  <si>
    <t>SITIO EL PORTETE</t>
  </si>
  <si>
    <t>ZARUMA</t>
  </si>
  <si>
    <t>facturasgoldmins2023@gmail.com</t>
  </si>
  <si>
    <t>1131</t>
  </si>
  <si>
    <t>0704615442001</t>
  </si>
  <si>
    <t>SOTO VALAREZO MARJORIE JANNETH</t>
  </si>
  <si>
    <t>URB JUAN BAUTISTA SILVA PANAMERICANA</t>
  </si>
  <si>
    <t>1247</t>
  </si>
  <si>
    <t>0702385964001</t>
  </si>
  <si>
    <t>SUCONOTA UYAGUARI MANUEL JESUS</t>
  </si>
  <si>
    <t>BARRIO 5 DE JUNIO</t>
  </si>
  <si>
    <t>manuel_suconota@hotmail.com</t>
  </si>
  <si>
    <t>1207</t>
  </si>
  <si>
    <t>1790013731001</t>
  </si>
  <si>
    <t>1106</t>
  </si>
  <si>
    <t>0703860825001</t>
  </si>
  <si>
    <t>TEJEDOR ERRAEZ FLORENCIO RENATO</t>
  </si>
  <si>
    <t>09672994399</t>
  </si>
  <si>
    <t>PANAMERICA S/N SITIO SAN CARLOS</t>
  </si>
  <si>
    <t>1152</t>
  </si>
  <si>
    <t>1790896544001</t>
  </si>
  <si>
    <t>TELEVISION Y VENTAS  TELEVENT S.A.</t>
  </si>
  <si>
    <t>AV.PAQUISHA SN Y PASAJE 25 DE JUNIO. CC LA PIAZZA MACHALA LC 14+16</t>
  </si>
  <si>
    <t>tvventas@seedbilling.site</t>
  </si>
  <si>
    <t>1265</t>
  </si>
  <si>
    <t>0993152161001</t>
  </si>
  <si>
    <t>TIENDAS TUTI TTDE S.A.</t>
  </si>
  <si>
    <t>AV. 9 DE OCTUBRE 729 Y BOYACA</t>
  </si>
  <si>
    <t>1059</t>
  </si>
  <si>
    <t>0702573213001</t>
  </si>
  <si>
    <t>TIGRE CALDERON DIEGO MARCELO</t>
  </si>
  <si>
    <t>0993631108</t>
  </si>
  <si>
    <t>BARRIO 24 DE AGOSTO</t>
  </si>
  <si>
    <t>diegos_70@hotmail.com</t>
  </si>
  <si>
    <t>1107</t>
  </si>
  <si>
    <t>0704860402001</t>
  </si>
  <si>
    <t>TORRES GALLARDO GILSON MARCELO</t>
  </si>
  <si>
    <t>MACHALA S/N</t>
  </si>
  <si>
    <t>jessicha@gmail.com</t>
  </si>
  <si>
    <t>1076</t>
  </si>
  <si>
    <t>0701241440001</t>
  </si>
  <si>
    <t>TORRES JOSE GUSTAVO</t>
  </si>
  <si>
    <t>072920302</t>
  </si>
  <si>
    <t>PALMERAS E/PALMERAS Y VELA</t>
  </si>
  <si>
    <t>reyglendy2012@hotmail.es</t>
  </si>
  <si>
    <t>1063</t>
  </si>
  <si>
    <t>0391004110001</t>
  </si>
  <si>
    <t>ZAMORA</t>
  </si>
  <si>
    <t>1294</t>
  </si>
  <si>
    <t>0791746736001</t>
  </si>
  <si>
    <t>TRANSPECARBA SA</t>
  </si>
  <si>
    <t>AV. 30 DE ABRIL SN Y PANAMERICANA</t>
  </si>
  <si>
    <t>1239</t>
  </si>
  <si>
    <t>0791834589001</t>
  </si>
  <si>
    <t>TRANSPETORRES S.A.</t>
  </si>
  <si>
    <t>0997120185</t>
  </si>
  <si>
    <t>BARRIO 3 DE JULIO PANAMERICANA S/N AV,. EL EJERCITO</t>
  </si>
  <si>
    <t>transpetorres@hotmail.com</t>
  </si>
  <si>
    <t>1232</t>
  </si>
  <si>
    <t>0791798388001</t>
  </si>
  <si>
    <t>TRANSPORFARAHNIEM S.A.</t>
  </si>
  <si>
    <t>ROCAFUERTE S/N Y COLON Y BUENAVISTA</t>
  </si>
  <si>
    <t>1249</t>
  </si>
  <si>
    <t>0791800854001</t>
  </si>
  <si>
    <t>TRANSPORTE DE CARGA LIVIANA TRANSAYACUCHO SOCIEDAD ANONIMA</t>
  </si>
  <si>
    <t>OCTAVA C NORTE 918 Y PAEZ Y JUAN MONTALVO_x000D_
OCTAVA C NORTE 918 Y PAEZ Y JUAN MONTALVO_x000D_
OCTAVA C NORTE</t>
  </si>
  <si>
    <t>transayacucho@hotmail.com</t>
  </si>
  <si>
    <t>1103</t>
  </si>
  <si>
    <t>0992807997001</t>
  </si>
  <si>
    <t>TRANSPORTE DE CARGA PESADA VICENTE ROCAFUERTE TRANSPEVIRO S.</t>
  </si>
  <si>
    <t>ASAAD BUCARAM S/N</t>
  </si>
  <si>
    <t>NARANJAL</t>
  </si>
  <si>
    <t>2721391</t>
  </si>
  <si>
    <t>transpeviro5@hotmail.com</t>
  </si>
  <si>
    <t>1159</t>
  </si>
  <si>
    <t>1191795312001</t>
  </si>
  <si>
    <t>TRANSPORTE PESADO VICAS TRUCKS S.A.</t>
  </si>
  <si>
    <t>0980826928</t>
  </si>
  <si>
    <t>VICENTE ROCAFUERTE 02-118 Y AV.ORILLAS DEL ZAMORA</t>
  </si>
  <si>
    <t>vicastrucks@hotmail.com</t>
  </si>
  <si>
    <t>1254</t>
  </si>
  <si>
    <t>0691717186001</t>
  </si>
  <si>
    <t>TRANSPORTE TENEMAZA INTERNACIONAL CA</t>
  </si>
  <si>
    <t>LEON DE FEBRES CORDERO Y 5E JUNIO</t>
  </si>
  <si>
    <t>tenemazainternacional@gmail.com</t>
  </si>
  <si>
    <t>1155</t>
  </si>
  <si>
    <t>0790102584001</t>
  </si>
  <si>
    <t>TRANSPORTES ASOCIADOS ORENSES TRASOSA  S.A.</t>
  </si>
  <si>
    <t>VIA PANAMERICANA S/N SITIO TILLALES</t>
  </si>
  <si>
    <t>0997440445</t>
  </si>
  <si>
    <t>trasosita1980@hotmail.com</t>
  </si>
  <si>
    <t>1199</t>
  </si>
  <si>
    <t>0791777151001</t>
  </si>
  <si>
    <t>TRANSPORTES DE CARGA PESADA TRANS ORVEPAL SA</t>
  </si>
  <si>
    <t>LAS MONJAS S/N Y AV QUITO</t>
  </si>
  <si>
    <t>fabianruiz0603@hotmail.com</t>
  </si>
  <si>
    <t>1097</t>
  </si>
  <si>
    <t>0703988436001</t>
  </si>
  <si>
    <t>USHCA DUCHI BLANCA JESSENIA</t>
  </si>
  <si>
    <t>blanca_usha@yahoo.com</t>
  </si>
  <si>
    <t>1089</t>
  </si>
  <si>
    <t>0701201873001</t>
  </si>
  <si>
    <t>VALAREZO VERA ALBERTINA LEONOR</t>
  </si>
  <si>
    <t>9 DE MAYO  S/N Y 4 DE AGOSTO</t>
  </si>
  <si>
    <t>2914083</t>
  </si>
  <si>
    <t>leonorvalarezov@hotmail.com</t>
  </si>
  <si>
    <t>1218</t>
  </si>
  <si>
    <t>0703510990001</t>
  </si>
  <si>
    <t>LA PROVIDENCIA / CALLE RESIN 23 Y AV.25 DE JUNIO</t>
  </si>
  <si>
    <t>072982746</t>
  </si>
  <si>
    <t>1192</t>
  </si>
  <si>
    <t>1792371643001</t>
  </si>
  <si>
    <t>VENPARGLOBAL S.A.</t>
  </si>
  <si>
    <t>SAN SEBASTIAN / PEDRO VICENTE MALDONADO SN Y NICOLAS COPERNICO</t>
  </si>
  <si>
    <t>1069</t>
  </si>
  <si>
    <t>0704302959001</t>
  </si>
  <si>
    <t>YAZBEK MARICH LESZEK ANTONIO</t>
  </si>
  <si>
    <t>072951957</t>
  </si>
  <si>
    <t>SUCRE S/N Y MANABI</t>
  </si>
  <si>
    <t>vivimarich@hotmail.es</t>
  </si>
  <si>
    <t>1284</t>
  </si>
  <si>
    <t>0992982047001</t>
  </si>
  <si>
    <t>YILPORT TERMINAL OPERATIONS</t>
  </si>
  <si>
    <t>EL ORO / MACHALA / AV. BOLIVAR MADERO VARGAS S/N</t>
  </si>
  <si>
    <t>APELLIDO</t>
  </si>
  <si>
    <t>NOMBRE</t>
  </si>
  <si>
    <t>COMPAÑIA DE TRANSPORTE DE CARGA TRAMASUR SA</t>
  </si>
  <si>
    <t>ABRIL MUÑOZ JORGE WASHINGTON</t>
  </si>
  <si>
    <t>ASOCIACION DE PEQUEÑOS PRODUCTORES BANANEROS EL GUABO</t>
  </si>
  <si>
    <t>CARPIO ORDOÑEZ JUAN MIGUEL</t>
  </si>
  <si>
    <t>COMPAÑIA DE CARGA PESADA LULUTRANSCAR SA</t>
  </si>
  <si>
    <t>COMPAÑIA DE CARGA PESADA PIONEROS DEL CAMINO PIOCAM  SA</t>
  </si>
  <si>
    <t>COMPAÑIA DE CARGA PESADA UNION ORENSE UNORCOM S.A.</t>
  </si>
  <si>
    <t>COMPAÑIA DE CARGA TRANSGUABE SA</t>
  </si>
  <si>
    <t>COMPAÑIA DE TRANSPORTE DE CARGA PESADA 5 DE SEPTIEMBRE SA</t>
  </si>
  <si>
    <t>COMPAÑIA DE TRANSPORTE DE CARGA PESADA LA IBERIA TRANSIBERIA</t>
  </si>
  <si>
    <t>COMPAÑIA DE TRANSPORTE DE CARGA PESADA LLANEROS TRUCKS INTER</t>
  </si>
  <si>
    <t>COMPAÑIA DE TRANSPORTE DE CARGA PESADA TRANSPNEL SA</t>
  </si>
  <si>
    <t>COMPAÑIA DE TRANSPORTE PESADO 5 DE JULIO SA</t>
  </si>
  <si>
    <t>COMPAÑIA DE TRANSPORTE PESADO GUAPASA S.A.</t>
  </si>
  <si>
    <t>COMPAÑIA DE TRANSPORTE PESADO LLOACANA E HIJOS SA TRANSPORTE</t>
  </si>
  <si>
    <t>COMPAÑIA DE TRANSPORTE PESADO OROVEMA S.A.</t>
  </si>
  <si>
    <t>COMPAÑIA DE TRANSPORTE PESADO SERTRADAVI SA</t>
  </si>
  <si>
    <t>COMPAÑIA DE TRANSPORTE PESADO TOMOTRANS S.A.</t>
  </si>
  <si>
    <t>COMPAÑIA DE TRANSPORTE PESADO TRANSALBORADA SA</t>
  </si>
  <si>
    <t>COMPAÑIA DE TRANSPORTE PESADO TRANSCOBRE SA</t>
  </si>
  <si>
    <t>COMPAÑIA DE TRANSPORTE PESADOS HERNANDEZ ZAPATA S.A.</t>
  </si>
  <si>
    <t>COMPAÑIA ECUATORIANA DE RECICLAJE CERSA S.A</t>
  </si>
  <si>
    <t>COMPAÑIA TRANSPORTES TECN&amp;AGRO AGRO&amp;TECNISA S A</t>
  </si>
  <si>
    <t>LA PEAÑA</t>
  </si>
  <si>
    <t>EL ORO / PASAJE / CAÑAQUEMADA / VIA A MALVAL S/N Y CARRETERO PRINCIPAL</t>
  </si>
  <si>
    <t>IÑIGUEZ ARMIJOS MILTON FERNANDO</t>
  </si>
  <si>
    <t>MUÑOZ VERIÑAZ LUIS ESTUARDO</t>
  </si>
  <si>
    <t>ORDOÑEZ RAMON VITO MIGUEL</t>
  </si>
  <si>
    <t>PAZMIÑO ERAS SABRINA MARISOL</t>
  </si>
  <si>
    <t>QUINDE ORTUÑO LUIS SILVIO</t>
  </si>
  <si>
    <t>BI 3 PICHINCHA ,ENTRE CAÑAR Y SUCUMBIOS</t>
  </si>
  <si>
    <t>SUPERINTENDENCIA DE COMPAÑIAS</t>
  </si>
  <si>
    <t>TRANSCOSTACAÑARI S.A.</t>
  </si>
  <si>
    <t>CAÑAR LA TRONCAL S/N</t>
  </si>
  <si>
    <t>VALVERDE PAZMIÑO CARMEN ELIZABETH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</si>
</sst>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4A5A6-767B-4549-B7A2-E4516B145315}">
  <dimension ref="A1:AP220"/>
  <sheetViews>
    <sheetView tabSelected="1" topLeftCell="H202" workbookViewId="0">
      <selection activeCell="N2" sqref="N2:N220"/>
    </sheetView>
  </sheetViews>
  <sheetFormatPr baseColWidth="10" defaultRowHeight="15" x14ac:dyDescent="0.25"/>
  <cols>
    <col min="2" max="2" width="14" bestFit="1" customWidth="1"/>
    <col min="3" max="3" width="67.7109375" bestFit="1" customWidth="1"/>
    <col min="4" max="5" width="67.7109375" style="1" customWidth="1"/>
    <col min="14" max="14" width="11.42578125" style="1"/>
  </cols>
  <sheetData>
    <row r="1" spans="1:42" x14ac:dyDescent="0.25">
      <c r="A1" s="1" t="s">
        <v>0</v>
      </c>
      <c r="B1" s="1" t="s">
        <v>1</v>
      </c>
      <c r="C1" s="1" t="s">
        <v>2</v>
      </c>
      <c r="D1" s="1" t="s">
        <v>1146</v>
      </c>
      <c r="E1" s="1" t="s">
        <v>1145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  <c r="U1" s="1" t="s">
        <v>17</v>
      </c>
      <c r="V1" s="1" t="s">
        <v>18</v>
      </c>
      <c r="W1" s="1" t="s">
        <v>19</v>
      </c>
      <c r="X1" s="1" t="s">
        <v>20</v>
      </c>
      <c r="Y1" s="1" t="s">
        <v>21</v>
      </c>
      <c r="Z1" s="1" t="s">
        <v>22</v>
      </c>
      <c r="AA1" s="1" t="s">
        <v>23</v>
      </c>
      <c r="AB1" s="1" t="s">
        <v>24</v>
      </c>
      <c r="AC1" s="1" t="s">
        <v>25</v>
      </c>
      <c r="AD1" s="1" t="s">
        <v>26</v>
      </c>
      <c r="AE1" s="1" t="s">
        <v>27</v>
      </c>
      <c r="AF1" s="1" t="s">
        <v>28</v>
      </c>
      <c r="AG1" s="1" t="s">
        <v>29</v>
      </c>
      <c r="AH1" s="1" t="s">
        <v>30</v>
      </c>
      <c r="AI1" s="1" t="s">
        <v>31</v>
      </c>
      <c r="AJ1" s="1" t="s">
        <v>32</v>
      </c>
      <c r="AK1" s="1" t="s">
        <v>33</v>
      </c>
      <c r="AL1" s="1" t="s">
        <v>34</v>
      </c>
      <c r="AM1" s="1" t="s">
        <v>35</v>
      </c>
      <c r="AN1" s="1" t="s">
        <v>36</v>
      </c>
      <c r="AO1" s="1" t="s">
        <v>37</v>
      </c>
      <c r="AP1" s="1" t="s">
        <v>38</v>
      </c>
    </row>
    <row r="2" spans="1:42" x14ac:dyDescent="0.25">
      <c r="A2" s="1" t="s">
        <v>39</v>
      </c>
      <c r="B2" s="1" t="s">
        <v>40</v>
      </c>
      <c r="C2" s="1" t="s">
        <v>1148</v>
      </c>
      <c r="D2" s="1" t="str">
        <f>LEFT(C2, FIND(" ", C2, FIND(" ", C2) + 1) - 1)</f>
        <v>ABRIL MUÑOZ</v>
      </c>
      <c r="E2" s="1" t="str">
        <f>RIGHT(C2, LEN(C2) - FIND(" ", C2, FIND(" ", C2, FIND(" ", C2) + 0) + 1))</f>
        <v>JORGE WASHINGTON</v>
      </c>
      <c r="F2" s="1" t="s">
        <v>41</v>
      </c>
      <c r="G2" s="1" t="s">
        <v>42</v>
      </c>
      <c r="H2" s="1" t="s">
        <v>42</v>
      </c>
      <c r="I2" s="1" t="s">
        <v>43</v>
      </c>
      <c r="J2" s="1" t="s">
        <v>44</v>
      </c>
      <c r="K2" s="1" t="s">
        <v>45</v>
      </c>
      <c r="L2" s="1" t="s">
        <v>46</v>
      </c>
      <c r="M2" s="1" t="s">
        <v>47</v>
      </c>
      <c r="N2" s="1">
        <v>134</v>
      </c>
      <c r="O2" s="1" t="s">
        <v>45</v>
      </c>
      <c r="P2" s="1" t="s">
        <v>45</v>
      </c>
      <c r="Q2" s="1" t="s">
        <v>48</v>
      </c>
      <c r="R2" s="1" t="s">
        <v>49</v>
      </c>
      <c r="S2" s="1" t="s">
        <v>50</v>
      </c>
      <c r="T2" s="1" t="s">
        <v>50</v>
      </c>
      <c r="U2" s="1" t="s">
        <v>45</v>
      </c>
      <c r="V2" s="1" t="s">
        <v>45</v>
      </c>
      <c r="W2" s="1" t="s">
        <v>45</v>
      </c>
      <c r="X2" s="1" t="s">
        <v>45</v>
      </c>
      <c r="Y2" s="1" t="s">
        <v>45</v>
      </c>
      <c r="Z2" s="1">
        <v>0</v>
      </c>
      <c r="AA2" s="1" t="s">
        <v>45</v>
      </c>
      <c r="AB2" s="1" t="s">
        <v>45</v>
      </c>
      <c r="AC2" s="1" t="s">
        <v>45</v>
      </c>
      <c r="AD2" s="1" t="s">
        <v>45</v>
      </c>
      <c r="AE2" s="1" t="s">
        <v>45</v>
      </c>
      <c r="AF2" s="1" t="s">
        <v>51</v>
      </c>
      <c r="AG2" s="1" t="s">
        <v>45</v>
      </c>
      <c r="AH2" s="1" t="s">
        <v>45</v>
      </c>
      <c r="AI2" s="1" t="s">
        <v>45</v>
      </c>
      <c r="AJ2" s="1" t="s">
        <v>45</v>
      </c>
      <c r="AK2" s="1" t="s">
        <v>45</v>
      </c>
      <c r="AL2" s="1" t="s">
        <v>49</v>
      </c>
      <c r="AM2" s="1" t="s">
        <v>49</v>
      </c>
      <c r="AN2" s="1">
        <v>0</v>
      </c>
      <c r="AO2" s="1">
        <v>0</v>
      </c>
      <c r="AP2" s="1">
        <v>0</v>
      </c>
    </row>
    <row r="3" spans="1:42" x14ac:dyDescent="0.25">
      <c r="A3" s="1" t="s">
        <v>52</v>
      </c>
      <c r="B3" s="1" t="s">
        <v>53</v>
      </c>
      <c r="C3" s="1" t="s">
        <v>54</v>
      </c>
      <c r="D3" s="1" t="str">
        <f>+C3</f>
        <v>AGENCIA NACIONAL DE REGULACION Y CONTROL DEL TRANSPORTE TERR</v>
      </c>
      <c r="F3" s="1" t="s">
        <v>41</v>
      </c>
      <c r="G3" s="1" t="s">
        <v>55</v>
      </c>
      <c r="H3" s="1" t="s">
        <v>42</v>
      </c>
      <c r="I3" s="1" t="s">
        <v>43</v>
      </c>
      <c r="J3" s="1" t="s">
        <v>44</v>
      </c>
      <c r="K3" s="1" t="s">
        <v>45</v>
      </c>
      <c r="L3" s="1" t="s">
        <v>56</v>
      </c>
      <c r="M3" s="1" t="s">
        <v>57</v>
      </c>
      <c r="N3" s="1">
        <v>161</v>
      </c>
      <c r="O3" s="1" t="s">
        <v>45</v>
      </c>
      <c r="P3" s="1" t="s">
        <v>45</v>
      </c>
      <c r="Q3" s="1" t="s">
        <v>45</v>
      </c>
      <c r="R3" s="1" t="s">
        <v>49</v>
      </c>
      <c r="S3" s="1" t="s">
        <v>50</v>
      </c>
      <c r="T3" s="1" t="s">
        <v>50</v>
      </c>
      <c r="U3" s="1" t="s">
        <v>45</v>
      </c>
      <c r="V3" s="1" t="s">
        <v>45</v>
      </c>
      <c r="W3" s="1" t="s">
        <v>45</v>
      </c>
      <c r="X3" s="1" t="s">
        <v>45</v>
      </c>
      <c r="Y3" s="1" t="s">
        <v>45</v>
      </c>
      <c r="Z3" s="1">
        <v>0</v>
      </c>
      <c r="AA3" s="1" t="s">
        <v>45</v>
      </c>
      <c r="AB3" s="1" t="s">
        <v>45</v>
      </c>
      <c r="AC3" s="1" t="s">
        <v>45</v>
      </c>
      <c r="AD3" s="1" t="s">
        <v>45</v>
      </c>
      <c r="AE3" s="1" t="s">
        <v>45</v>
      </c>
      <c r="AF3" s="1" t="s">
        <v>51</v>
      </c>
      <c r="AG3" s="1" t="s">
        <v>45</v>
      </c>
      <c r="AH3" s="1" t="s">
        <v>45</v>
      </c>
      <c r="AI3" s="1" t="s">
        <v>45</v>
      </c>
      <c r="AJ3" s="1" t="s">
        <v>45</v>
      </c>
      <c r="AK3" s="1" t="s">
        <v>45</v>
      </c>
      <c r="AL3" s="1" t="s">
        <v>49</v>
      </c>
      <c r="AM3" s="1" t="s">
        <v>49</v>
      </c>
      <c r="AN3" s="1">
        <v>0</v>
      </c>
      <c r="AO3" s="1">
        <v>0</v>
      </c>
      <c r="AP3" s="1">
        <v>0</v>
      </c>
    </row>
    <row r="4" spans="1:42" x14ac:dyDescent="0.25">
      <c r="A4" s="1" t="s">
        <v>58</v>
      </c>
      <c r="B4" s="1" t="s">
        <v>59</v>
      </c>
      <c r="C4" s="1" t="s">
        <v>60</v>
      </c>
      <c r="D4" s="1" t="str">
        <f>+C4</f>
        <v>AGRHOSPASE CIA LTDA</v>
      </c>
      <c r="F4" s="1" t="s">
        <v>41</v>
      </c>
      <c r="G4" s="1" t="s">
        <v>42</v>
      </c>
      <c r="H4" s="1" t="s">
        <v>42</v>
      </c>
      <c r="I4" s="1" t="s">
        <v>43</v>
      </c>
      <c r="J4" s="1" t="s">
        <v>44</v>
      </c>
      <c r="K4" s="1" t="s">
        <v>45</v>
      </c>
      <c r="L4" s="1" t="s">
        <v>61</v>
      </c>
      <c r="M4" s="1" t="s">
        <v>62</v>
      </c>
      <c r="N4" s="1">
        <v>3</v>
      </c>
      <c r="O4" s="1" t="s">
        <v>45</v>
      </c>
      <c r="P4" s="1" t="s">
        <v>45</v>
      </c>
      <c r="Q4" s="1" t="s">
        <v>63</v>
      </c>
      <c r="R4" s="1" t="s">
        <v>49</v>
      </c>
      <c r="S4" s="1" t="s">
        <v>50</v>
      </c>
      <c r="T4" s="1" t="s">
        <v>50</v>
      </c>
      <c r="U4" s="1" t="s">
        <v>45</v>
      </c>
      <c r="V4" s="1" t="s">
        <v>45</v>
      </c>
      <c r="W4" s="1" t="s">
        <v>45</v>
      </c>
      <c r="X4" s="1" t="s">
        <v>45</v>
      </c>
      <c r="Y4" s="1" t="s">
        <v>45</v>
      </c>
      <c r="Z4" s="1">
        <v>0</v>
      </c>
      <c r="AA4" s="1" t="s">
        <v>45</v>
      </c>
      <c r="AB4" s="1" t="s">
        <v>45</v>
      </c>
      <c r="AC4" s="1" t="s">
        <v>45</v>
      </c>
      <c r="AD4" s="1" t="s">
        <v>45</v>
      </c>
      <c r="AE4" s="1" t="s">
        <v>45</v>
      </c>
      <c r="AF4" s="1" t="s">
        <v>51</v>
      </c>
      <c r="AG4" s="1" t="s">
        <v>45</v>
      </c>
      <c r="AH4" s="1" t="s">
        <v>45</v>
      </c>
      <c r="AI4" s="1" t="s">
        <v>45</v>
      </c>
      <c r="AJ4" s="1" t="s">
        <v>45</v>
      </c>
      <c r="AK4" s="1" t="s">
        <v>45</v>
      </c>
      <c r="AL4" s="1" t="s">
        <v>49</v>
      </c>
      <c r="AM4" s="1" t="s">
        <v>49</v>
      </c>
      <c r="AN4" s="1">
        <v>0</v>
      </c>
      <c r="AO4" s="1">
        <v>0</v>
      </c>
      <c r="AP4" s="1">
        <v>0</v>
      </c>
    </row>
    <row r="5" spans="1:42" x14ac:dyDescent="0.25">
      <c r="A5" s="1" t="s">
        <v>64</v>
      </c>
      <c r="B5" s="1" t="s">
        <v>65</v>
      </c>
      <c r="C5" s="1" t="s">
        <v>66</v>
      </c>
      <c r="D5" s="1" t="str">
        <f>+C5</f>
        <v>AGRICOLA DANILUP S.A.</v>
      </c>
      <c r="F5" s="1" t="s">
        <v>41</v>
      </c>
      <c r="G5" s="1" t="s">
        <v>42</v>
      </c>
      <c r="H5" s="1" t="s">
        <v>42</v>
      </c>
      <c r="I5" s="1" t="s">
        <v>43</v>
      </c>
      <c r="J5" s="1" t="s">
        <v>44</v>
      </c>
      <c r="K5" s="1" t="s">
        <v>67</v>
      </c>
      <c r="L5" s="1" t="s">
        <v>68</v>
      </c>
      <c r="M5" s="1" t="s">
        <v>69</v>
      </c>
      <c r="N5" s="1">
        <v>58</v>
      </c>
      <c r="O5" s="1" t="s">
        <v>70</v>
      </c>
      <c r="P5" s="1" t="s">
        <v>45</v>
      </c>
      <c r="Q5" s="1" t="s">
        <v>71</v>
      </c>
      <c r="R5" s="1" t="s">
        <v>49</v>
      </c>
      <c r="S5" s="1" t="s">
        <v>50</v>
      </c>
      <c r="T5" s="1" t="s">
        <v>50</v>
      </c>
      <c r="U5" s="1" t="s">
        <v>45</v>
      </c>
      <c r="V5" s="1" t="s">
        <v>45</v>
      </c>
      <c r="W5" s="1" t="s">
        <v>45</v>
      </c>
      <c r="X5" s="1" t="s">
        <v>45</v>
      </c>
      <c r="Y5" s="1" t="s">
        <v>45</v>
      </c>
      <c r="Z5" s="1">
        <v>0</v>
      </c>
      <c r="AA5" s="1" t="s">
        <v>45</v>
      </c>
      <c r="AB5" s="1" t="s">
        <v>45</v>
      </c>
      <c r="AC5" s="1" t="s">
        <v>45</v>
      </c>
      <c r="AD5" s="1" t="s">
        <v>45</v>
      </c>
      <c r="AE5" s="1" t="s">
        <v>45</v>
      </c>
      <c r="AF5" s="1" t="s">
        <v>51</v>
      </c>
      <c r="AG5" s="1" t="s">
        <v>45</v>
      </c>
      <c r="AH5" s="1" t="s">
        <v>45</v>
      </c>
      <c r="AI5" s="1" t="s">
        <v>45</v>
      </c>
      <c r="AJ5" s="1" t="s">
        <v>45</v>
      </c>
      <c r="AK5" s="1" t="s">
        <v>45</v>
      </c>
      <c r="AL5" s="1" t="s">
        <v>49</v>
      </c>
      <c r="AM5" s="1" t="s">
        <v>49</v>
      </c>
      <c r="AN5" s="1">
        <v>0</v>
      </c>
      <c r="AO5" s="1">
        <v>0</v>
      </c>
      <c r="AP5" s="1">
        <v>0</v>
      </c>
    </row>
    <row r="6" spans="1:42" x14ac:dyDescent="0.25">
      <c r="A6" s="1" t="s">
        <v>72</v>
      </c>
      <c r="B6" s="1" t="s">
        <v>73</v>
      </c>
      <c r="C6" s="1" t="s">
        <v>74</v>
      </c>
      <c r="D6" s="1" t="str">
        <f>+C6</f>
        <v>AGRORGANICA S A</v>
      </c>
      <c r="F6" s="1" t="s">
        <v>41</v>
      </c>
      <c r="G6" s="1" t="s">
        <v>42</v>
      </c>
      <c r="H6" s="1" t="s">
        <v>42</v>
      </c>
      <c r="I6" s="1" t="s">
        <v>43</v>
      </c>
      <c r="J6" s="1" t="s">
        <v>44</v>
      </c>
      <c r="K6" s="1" t="s">
        <v>45</v>
      </c>
      <c r="L6" s="1" t="s">
        <v>75</v>
      </c>
      <c r="M6" s="1" t="s">
        <v>62</v>
      </c>
      <c r="N6" s="1">
        <v>3</v>
      </c>
      <c r="O6" s="1" t="s">
        <v>45</v>
      </c>
      <c r="P6" s="1" t="s">
        <v>45</v>
      </c>
      <c r="Q6" s="1" t="s">
        <v>76</v>
      </c>
      <c r="R6" s="1" t="s">
        <v>49</v>
      </c>
      <c r="S6" s="1" t="s">
        <v>50</v>
      </c>
      <c r="T6" s="1" t="s">
        <v>50</v>
      </c>
      <c r="U6" s="1" t="s">
        <v>45</v>
      </c>
      <c r="V6" s="1" t="s">
        <v>45</v>
      </c>
      <c r="W6" s="1" t="s">
        <v>45</v>
      </c>
      <c r="X6" s="1" t="s">
        <v>45</v>
      </c>
      <c r="Y6" s="1" t="s">
        <v>45</v>
      </c>
      <c r="Z6" s="1">
        <v>0</v>
      </c>
      <c r="AA6" s="1" t="s">
        <v>45</v>
      </c>
      <c r="AB6" s="1" t="s">
        <v>45</v>
      </c>
      <c r="AC6" s="1" t="s">
        <v>45</v>
      </c>
      <c r="AD6" s="1" t="s">
        <v>45</v>
      </c>
      <c r="AE6" s="1" t="s">
        <v>45</v>
      </c>
      <c r="AF6" s="1" t="s">
        <v>51</v>
      </c>
      <c r="AG6" s="1" t="s">
        <v>45</v>
      </c>
      <c r="AH6" s="1" t="s">
        <v>45</v>
      </c>
      <c r="AI6" s="1" t="s">
        <v>45</v>
      </c>
      <c r="AJ6" s="1" t="s">
        <v>45</v>
      </c>
      <c r="AK6" s="1" t="s">
        <v>45</v>
      </c>
      <c r="AL6" s="1" t="s">
        <v>49</v>
      </c>
      <c r="AM6" s="1" t="s">
        <v>49</v>
      </c>
      <c r="AN6" s="1">
        <v>0</v>
      </c>
      <c r="AO6" s="1">
        <v>0</v>
      </c>
      <c r="AP6" s="1">
        <v>0</v>
      </c>
    </row>
    <row r="7" spans="1:42" x14ac:dyDescent="0.25">
      <c r="A7" s="1" t="s">
        <v>77</v>
      </c>
      <c r="B7" s="1" t="s">
        <v>78</v>
      </c>
      <c r="C7" s="1" t="s">
        <v>79</v>
      </c>
      <c r="D7" s="1" t="str">
        <f t="shared" ref="D7:D44" si="0">LEFT(C7, FIND(" ", C7, FIND(" ", C7) + 1) - 1)</f>
        <v>AGUILERA LOPEZ</v>
      </c>
      <c r="E7" s="1" t="str">
        <f t="shared" ref="E7:E8" si="1">RIGHT(C7, LEN(C7) - FIND(" ", C7, FIND(" ", C7, FIND(" ", C7) + 0) + 1))</f>
        <v>JOHNNY FABRICIO</v>
      </c>
      <c r="F7" s="1" t="s">
        <v>41</v>
      </c>
      <c r="G7" s="1" t="s">
        <v>42</v>
      </c>
      <c r="H7" s="1" t="s">
        <v>42</v>
      </c>
      <c r="I7" s="1" t="s">
        <v>43</v>
      </c>
      <c r="J7" s="1" t="s">
        <v>44</v>
      </c>
      <c r="K7" s="1" t="s">
        <v>80</v>
      </c>
      <c r="L7" s="1" t="s">
        <v>81</v>
      </c>
      <c r="M7" s="1" t="s">
        <v>47</v>
      </c>
      <c r="N7" s="1">
        <v>134</v>
      </c>
      <c r="O7" s="1" t="s">
        <v>45</v>
      </c>
      <c r="P7" s="1" t="s">
        <v>45</v>
      </c>
      <c r="Q7" s="1" t="s">
        <v>45</v>
      </c>
      <c r="R7" s="1" t="s">
        <v>49</v>
      </c>
      <c r="S7" s="1" t="s">
        <v>50</v>
      </c>
      <c r="T7" s="1" t="s">
        <v>50</v>
      </c>
      <c r="U7" s="1" t="s">
        <v>45</v>
      </c>
      <c r="V7" s="1" t="s">
        <v>45</v>
      </c>
      <c r="W7" s="1" t="s">
        <v>45</v>
      </c>
      <c r="X7" s="1" t="s">
        <v>45</v>
      </c>
      <c r="Y7" s="1" t="s">
        <v>45</v>
      </c>
      <c r="Z7" s="1">
        <v>0</v>
      </c>
      <c r="AA7" s="1" t="s">
        <v>45</v>
      </c>
      <c r="AB7" s="1" t="s">
        <v>45</v>
      </c>
      <c r="AC7" s="1" t="s">
        <v>45</v>
      </c>
      <c r="AD7" s="1" t="s">
        <v>45</v>
      </c>
      <c r="AE7" s="1" t="s">
        <v>45</v>
      </c>
      <c r="AF7" s="1" t="s">
        <v>51</v>
      </c>
      <c r="AG7" s="1" t="s">
        <v>45</v>
      </c>
      <c r="AH7" s="1" t="s">
        <v>45</v>
      </c>
      <c r="AI7" s="1" t="s">
        <v>45</v>
      </c>
      <c r="AJ7" s="1" t="s">
        <v>45</v>
      </c>
      <c r="AK7" s="1" t="s">
        <v>45</v>
      </c>
      <c r="AL7" s="1" t="s">
        <v>49</v>
      </c>
      <c r="AM7" s="1" t="s">
        <v>49</v>
      </c>
      <c r="AN7" s="1">
        <v>0</v>
      </c>
      <c r="AO7" s="1">
        <v>0</v>
      </c>
      <c r="AP7" s="1">
        <v>0</v>
      </c>
    </row>
    <row r="8" spans="1:42" x14ac:dyDescent="0.25">
      <c r="A8" s="1" t="s">
        <v>82</v>
      </c>
      <c r="B8" s="1" t="s">
        <v>83</v>
      </c>
      <c r="C8" s="1" t="s">
        <v>84</v>
      </c>
      <c r="D8" s="1" t="str">
        <f t="shared" si="0"/>
        <v>ALEJANDRO SOLORZANO</v>
      </c>
      <c r="E8" s="1" t="str">
        <f t="shared" si="1"/>
        <v>SANTIAGO MANUEL</v>
      </c>
      <c r="F8" s="1" t="s">
        <v>41</v>
      </c>
      <c r="G8" s="1" t="s">
        <v>42</v>
      </c>
      <c r="H8" s="1" t="s">
        <v>42</v>
      </c>
      <c r="I8" s="1" t="s">
        <v>43</v>
      </c>
      <c r="J8" s="1" t="s">
        <v>44</v>
      </c>
      <c r="K8" s="1" t="s">
        <v>45</v>
      </c>
      <c r="L8" s="1" t="s">
        <v>85</v>
      </c>
      <c r="M8" s="1" t="s">
        <v>62</v>
      </c>
      <c r="N8" s="1">
        <v>3</v>
      </c>
      <c r="O8" s="1" t="s">
        <v>45</v>
      </c>
      <c r="P8" s="1" t="s">
        <v>45</v>
      </c>
      <c r="Q8" s="1" t="s">
        <v>86</v>
      </c>
      <c r="R8" s="1" t="s">
        <v>49</v>
      </c>
      <c r="S8" s="1" t="s">
        <v>50</v>
      </c>
      <c r="T8" s="1" t="s">
        <v>50</v>
      </c>
      <c r="U8" s="1" t="s">
        <v>45</v>
      </c>
      <c r="V8" s="1" t="s">
        <v>45</v>
      </c>
      <c r="W8" s="1" t="s">
        <v>45</v>
      </c>
      <c r="X8" s="1" t="s">
        <v>45</v>
      </c>
      <c r="Y8" s="1" t="s">
        <v>45</v>
      </c>
      <c r="Z8" s="1">
        <v>0</v>
      </c>
      <c r="AA8" s="1" t="s">
        <v>45</v>
      </c>
      <c r="AB8" s="1" t="s">
        <v>45</v>
      </c>
      <c r="AC8" s="1" t="s">
        <v>45</v>
      </c>
      <c r="AD8" s="1" t="s">
        <v>45</v>
      </c>
      <c r="AE8" s="1" t="s">
        <v>45</v>
      </c>
      <c r="AF8" s="1" t="s">
        <v>51</v>
      </c>
      <c r="AG8" s="1" t="s">
        <v>45</v>
      </c>
      <c r="AH8" s="1" t="s">
        <v>45</v>
      </c>
      <c r="AI8" s="1" t="s">
        <v>45</v>
      </c>
      <c r="AJ8" s="1" t="s">
        <v>45</v>
      </c>
      <c r="AK8" s="1" t="s">
        <v>45</v>
      </c>
      <c r="AL8" s="1" t="s">
        <v>49</v>
      </c>
      <c r="AM8" s="1" t="s">
        <v>49</v>
      </c>
      <c r="AN8" s="1">
        <v>0</v>
      </c>
      <c r="AO8" s="1">
        <v>0</v>
      </c>
      <c r="AP8" s="1">
        <v>0</v>
      </c>
    </row>
    <row r="9" spans="1:42" x14ac:dyDescent="0.25">
      <c r="A9" s="1" t="s">
        <v>87</v>
      </c>
      <c r="B9" s="1" t="s">
        <v>88</v>
      </c>
      <c r="C9" s="1" t="s">
        <v>89</v>
      </c>
      <c r="D9" s="1" t="str">
        <f>+C9</f>
        <v>ALIMENTOS EL SABOR ALIMENSABOR C. LTDA</v>
      </c>
      <c r="F9" s="1" t="s">
        <v>41</v>
      </c>
      <c r="G9" s="1" t="s">
        <v>42</v>
      </c>
      <c r="H9" s="1" t="s">
        <v>42</v>
      </c>
      <c r="I9" s="1" t="s">
        <v>43</v>
      </c>
      <c r="J9" s="1" t="s">
        <v>44</v>
      </c>
      <c r="K9" s="1" t="s">
        <v>90</v>
      </c>
      <c r="L9" s="1" t="s">
        <v>91</v>
      </c>
      <c r="M9" s="1" t="s">
        <v>92</v>
      </c>
      <c r="N9" s="1">
        <v>78</v>
      </c>
      <c r="O9" s="1" t="s">
        <v>45</v>
      </c>
      <c r="P9" s="1" t="s">
        <v>45</v>
      </c>
      <c r="Q9" s="1" t="s">
        <v>45</v>
      </c>
      <c r="R9" s="1" t="s">
        <v>49</v>
      </c>
      <c r="S9" s="1" t="s">
        <v>50</v>
      </c>
      <c r="T9" s="1" t="s">
        <v>50</v>
      </c>
      <c r="U9" s="1" t="s">
        <v>45</v>
      </c>
      <c r="V9" s="1" t="s">
        <v>45</v>
      </c>
      <c r="W9" s="1" t="s">
        <v>45</v>
      </c>
      <c r="X9" s="1" t="s">
        <v>45</v>
      </c>
      <c r="Y9" s="1" t="s">
        <v>45</v>
      </c>
      <c r="Z9" s="1">
        <v>0</v>
      </c>
      <c r="AA9" s="1" t="s">
        <v>45</v>
      </c>
      <c r="AB9" s="1" t="s">
        <v>45</v>
      </c>
      <c r="AC9" s="1" t="s">
        <v>45</v>
      </c>
      <c r="AD9" s="1" t="s">
        <v>45</v>
      </c>
      <c r="AE9" s="1" t="s">
        <v>45</v>
      </c>
      <c r="AF9" s="1" t="s">
        <v>51</v>
      </c>
      <c r="AG9" s="1" t="s">
        <v>45</v>
      </c>
      <c r="AH9" s="1" t="s">
        <v>45</v>
      </c>
      <c r="AI9" s="1" t="s">
        <v>45</v>
      </c>
      <c r="AJ9" s="1" t="s">
        <v>45</v>
      </c>
      <c r="AK9" s="1" t="s">
        <v>45</v>
      </c>
      <c r="AL9" s="1" t="s">
        <v>49</v>
      </c>
      <c r="AM9" s="1" t="s">
        <v>49</v>
      </c>
      <c r="AN9" s="1">
        <v>0</v>
      </c>
      <c r="AO9" s="1">
        <v>0</v>
      </c>
      <c r="AP9" s="1">
        <v>0</v>
      </c>
    </row>
    <row r="10" spans="1:42" x14ac:dyDescent="0.25">
      <c r="A10" s="1" t="s">
        <v>93</v>
      </c>
      <c r="B10" s="1" t="s">
        <v>94</v>
      </c>
      <c r="C10" s="1" t="s">
        <v>95</v>
      </c>
      <c r="D10" s="1" t="str">
        <f>+C10</f>
        <v>ALMACENES DE PRATI SA</v>
      </c>
      <c r="F10" s="1" t="s">
        <v>41</v>
      </c>
      <c r="G10" s="1" t="s">
        <v>42</v>
      </c>
      <c r="H10" s="1" t="s">
        <v>42</v>
      </c>
      <c r="I10" s="1" t="s">
        <v>43</v>
      </c>
      <c r="J10" s="1" t="s">
        <v>44</v>
      </c>
      <c r="K10" s="1" t="s">
        <v>45</v>
      </c>
      <c r="L10" s="1" t="s">
        <v>96</v>
      </c>
      <c r="M10" s="1" t="s">
        <v>97</v>
      </c>
      <c r="N10" s="1">
        <v>217</v>
      </c>
      <c r="O10" s="1" t="s">
        <v>45</v>
      </c>
      <c r="P10" s="1" t="s">
        <v>45</v>
      </c>
      <c r="Q10" s="1" t="s">
        <v>45</v>
      </c>
      <c r="R10" s="1" t="s">
        <v>49</v>
      </c>
      <c r="S10" s="1" t="s">
        <v>50</v>
      </c>
      <c r="T10" s="1" t="s">
        <v>50</v>
      </c>
      <c r="U10" s="1" t="s">
        <v>45</v>
      </c>
      <c r="V10" s="1" t="s">
        <v>45</v>
      </c>
      <c r="W10" s="1" t="s">
        <v>45</v>
      </c>
      <c r="X10" s="1" t="s">
        <v>45</v>
      </c>
      <c r="Y10" s="1" t="s">
        <v>45</v>
      </c>
      <c r="Z10" s="1">
        <v>0</v>
      </c>
      <c r="AA10" s="1" t="s">
        <v>45</v>
      </c>
      <c r="AB10" s="1" t="s">
        <v>45</v>
      </c>
      <c r="AC10" s="1" t="s">
        <v>45</v>
      </c>
      <c r="AD10" s="1" t="s">
        <v>45</v>
      </c>
      <c r="AE10" s="1" t="s">
        <v>45</v>
      </c>
      <c r="AF10" s="1" t="s">
        <v>51</v>
      </c>
      <c r="AG10" s="1" t="s">
        <v>45</v>
      </c>
      <c r="AH10" s="1" t="s">
        <v>45</v>
      </c>
      <c r="AI10" s="1" t="s">
        <v>45</v>
      </c>
      <c r="AJ10" s="1" t="s">
        <v>45</v>
      </c>
      <c r="AK10" s="1" t="s">
        <v>45</v>
      </c>
      <c r="AL10" s="1" t="s">
        <v>49</v>
      </c>
      <c r="AM10" s="1" t="s">
        <v>49</v>
      </c>
      <c r="AN10" s="1">
        <v>0</v>
      </c>
      <c r="AO10" s="1">
        <v>0</v>
      </c>
      <c r="AP10" s="1">
        <v>0</v>
      </c>
    </row>
    <row r="11" spans="1:42" x14ac:dyDescent="0.25">
      <c r="A11" s="1" t="s">
        <v>98</v>
      </c>
      <c r="B11" s="1" t="s">
        <v>99</v>
      </c>
      <c r="C11" s="1" t="s">
        <v>100</v>
      </c>
      <c r="D11" s="1" t="str">
        <f t="shared" si="0"/>
        <v>ALVARADO PELAEZ</v>
      </c>
      <c r="E11" s="1" t="str">
        <f t="shared" ref="E11:E13" si="2">RIGHT(C11, LEN(C11) - FIND(" ", C11, FIND(" ", C11, FIND(" ", C11) + 0) + 1))</f>
        <v>KLEBER AUGUSTO</v>
      </c>
      <c r="F11" s="1" t="s">
        <v>41</v>
      </c>
      <c r="G11" s="1" t="s">
        <v>42</v>
      </c>
      <c r="H11" s="1" t="s">
        <v>42</v>
      </c>
      <c r="I11" s="1" t="s">
        <v>43</v>
      </c>
      <c r="J11" s="1" t="s">
        <v>44</v>
      </c>
      <c r="K11" s="1" t="s">
        <v>101</v>
      </c>
      <c r="L11" s="1" t="s">
        <v>102</v>
      </c>
      <c r="M11" s="1" t="s">
        <v>69</v>
      </c>
      <c r="N11" s="1">
        <v>58</v>
      </c>
      <c r="O11" s="1" t="s">
        <v>45</v>
      </c>
      <c r="P11" s="1" t="s">
        <v>45</v>
      </c>
      <c r="Q11" s="1" t="s">
        <v>103</v>
      </c>
      <c r="R11" s="1" t="s">
        <v>49</v>
      </c>
      <c r="S11" s="1" t="s">
        <v>50</v>
      </c>
      <c r="T11" s="1" t="s">
        <v>50</v>
      </c>
      <c r="U11" s="1" t="s">
        <v>45</v>
      </c>
      <c r="V11" s="1" t="s">
        <v>45</v>
      </c>
      <c r="W11" s="1" t="s">
        <v>45</v>
      </c>
      <c r="X11" s="1" t="s">
        <v>45</v>
      </c>
      <c r="Y11" s="1" t="s">
        <v>45</v>
      </c>
      <c r="Z11" s="1">
        <v>0</v>
      </c>
      <c r="AA11" s="1" t="s">
        <v>45</v>
      </c>
      <c r="AB11" s="1" t="s">
        <v>45</v>
      </c>
      <c r="AC11" s="1" t="s">
        <v>45</v>
      </c>
      <c r="AD11" s="1" t="s">
        <v>45</v>
      </c>
      <c r="AE11" s="1" t="s">
        <v>45</v>
      </c>
      <c r="AF11" s="1" t="s">
        <v>51</v>
      </c>
      <c r="AG11" s="1" t="s">
        <v>45</v>
      </c>
      <c r="AH11" s="1" t="s">
        <v>45</v>
      </c>
      <c r="AI11" s="1" t="s">
        <v>45</v>
      </c>
      <c r="AJ11" s="1" t="s">
        <v>45</v>
      </c>
      <c r="AK11" s="1" t="s">
        <v>45</v>
      </c>
      <c r="AL11" s="1" t="s">
        <v>49</v>
      </c>
      <c r="AM11" s="1" t="s">
        <v>49</v>
      </c>
      <c r="AN11" s="1">
        <v>0</v>
      </c>
      <c r="AO11" s="1">
        <v>0</v>
      </c>
      <c r="AP11" s="1">
        <v>0</v>
      </c>
    </row>
    <row r="12" spans="1:42" x14ac:dyDescent="0.25">
      <c r="A12" s="1" t="s">
        <v>104</v>
      </c>
      <c r="B12" s="1" t="s">
        <v>105</v>
      </c>
      <c r="C12" s="1" t="s">
        <v>106</v>
      </c>
      <c r="D12" s="1" t="str">
        <f t="shared" si="0"/>
        <v>ALVAREZ CUESTA</v>
      </c>
      <c r="E12" s="1" t="str">
        <f t="shared" si="2"/>
        <v>HARTMAN CHRISTIAN</v>
      </c>
      <c r="F12" s="1" t="s">
        <v>41</v>
      </c>
      <c r="G12" s="1" t="s">
        <v>42</v>
      </c>
      <c r="H12" s="1" t="s">
        <v>42</v>
      </c>
      <c r="I12" s="1" t="s">
        <v>43</v>
      </c>
      <c r="J12" s="1" t="s">
        <v>44</v>
      </c>
      <c r="K12" s="1" t="s">
        <v>45</v>
      </c>
      <c r="L12" s="1" t="s">
        <v>107</v>
      </c>
      <c r="M12" s="1" t="s">
        <v>69</v>
      </c>
      <c r="N12" s="1">
        <v>58</v>
      </c>
      <c r="O12" s="1" t="s">
        <v>45</v>
      </c>
      <c r="P12" s="1" t="s">
        <v>45</v>
      </c>
      <c r="Q12" s="1" t="s">
        <v>108</v>
      </c>
      <c r="R12" s="1" t="s">
        <v>49</v>
      </c>
      <c r="S12" s="1" t="s">
        <v>50</v>
      </c>
      <c r="T12" s="1" t="s">
        <v>50</v>
      </c>
      <c r="U12" s="1" t="s">
        <v>45</v>
      </c>
      <c r="V12" s="1" t="s">
        <v>45</v>
      </c>
      <c r="W12" s="1" t="s">
        <v>45</v>
      </c>
      <c r="X12" s="1" t="s">
        <v>45</v>
      </c>
      <c r="Y12" s="1" t="s">
        <v>45</v>
      </c>
      <c r="Z12" s="1">
        <v>0</v>
      </c>
      <c r="AA12" s="1" t="s">
        <v>45</v>
      </c>
      <c r="AB12" s="1" t="s">
        <v>45</v>
      </c>
      <c r="AC12" s="1" t="s">
        <v>45</v>
      </c>
      <c r="AD12" s="1" t="s">
        <v>45</v>
      </c>
      <c r="AE12" s="1" t="s">
        <v>45</v>
      </c>
      <c r="AF12" s="1" t="s">
        <v>51</v>
      </c>
      <c r="AG12" s="1" t="s">
        <v>45</v>
      </c>
      <c r="AH12" s="1" t="s">
        <v>45</v>
      </c>
      <c r="AI12" s="1" t="s">
        <v>45</v>
      </c>
      <c r="AJ12" s="1" t="s">
        <v>45</v>
      </c>
      <c r="AK12" s="1" t="s">
        <v>45</v>
      </c>
      <c r="AL12" s="1" t="s">
        <v>49</v>
      </c>
      <c r="AM12" s="1" t="s">
        <v>49</v>
      </c>
      <c r="AN12" s="1">
        <v>0</v>
      </c>
      <c r="AO12" s="1">
        <v>0</v>
      </c>
      <c r="AP12" s="1">
        <v>0</v>
      </c>
    </row>
    <row r="13" spans="1:42" x14ac:dyDescent="0.25">
      <c r="A13" s="1" t="s">
        <v>109</v>
      </c>
      <c r="B13" s="1" t="s">
        <v>110</v>
      </c>
      <c r="C13" s="1" t="s">
        <v>111</v>
      </c>
      <c r="D13" s="1" t="str">
        <f t="shared" si="0"/>
        <v>ARCENTALES ALVAREZ</v>
      </c>
      <c r="E13" s="1" t="str">
        <f t="shared" si="2"/>
        <v>JORGE ORLANDO</v>
      </c>
      <c r="F13" s="1" t="s">
        <v>41</v>
      </c>
      <c r="G13" s="1" t="s">
        <v>42</v>
      </c>
      <c r="H13" s="1" t="s">
        <v>42</v>
      </c>
      <c r="I13" s="1" t="s">
        <v>43</v>
      </c>
      <c r="J13" s="1" t="s">
        <v>44</v>
      </c>
      <c r="K13" s="1" t="s">
        <v>45</v>
      </c>
      <c r="L13" s="1" t="s">
        <v>112</v>
      </c>
      <c r="M13" s="1" t="s">
        <v>69</v>
      </c>
      <c r="N13" s="1">
        <v>58</v>
      </c>
      <c r="O13" s="1" t="s">
        <v>45</v>
      </c>
      <c r="P13" s="1" t="s">
        <v>45</v>
      </c>
      <c r="Q13" s="1" t="s">
        <v>45</v>
      </c>
      <c r="R13" s="1" t="s">
        <v>49</v>
      </c>
      <c r="S13" s="1" t="s">
        <v>50</v>
      </c>
      <c r="T13" s="1" t="s">
        <v>50</v>
      </c>
      <c r="U13" s="1" t="s">
        <v>45</v>
      </c>
      <c r="V13" s="1" t="s">
        <v>45</v>
      </c>
      <c r="W13" s="1" t="s">
        <v>45</v>
      </c>
      <c r="X13" s="1" t="s">
        <v>45</v>
      </c>
      <c r="Y13" s="1" t="s">
        <v>45</v>
      </c>
      <c r="Z13" s="1">
        <v>0</v>
      </c>
      <c r="AA13" s="1" t="s">
        <v>45</v>
      </c>
      <c r="AB13" s="1" t="s">
        <v>45</v>
      </c>
      <c r="AC13" s="1" t="s">
        <v>45</v>
      </c>
      <c r="AD13" s="1" t="s">
        <v>45</v>
      </c>
      <c r="AE13" s="1" t="s">
        <v>45</v>
      </c>
      <c r="AF13" s="1" t="s">
        <v>51</v>
      </c>
      <c r="AG13" s="1" t="s">
        <v>45</v>
      </c>
      <c r="AH13" s="1" t="s">
        <v>45</v>
      </c>
      <c r="AI13" s="1" t="s">
        <v>45</v>
      </c>
      <c r="AJ13" s="1" t="s">
        <v>45</v>
      </c>
      <c r="AK13" s="1" t="s">
        <v>45</v>
      </c>
      <c r="AL13" s="1" t="s">
        <v>49</v>
      </c>
      <c r="AM13" s="1" t="s">
        <v>49</v>
      </c>
      <c r="AN13" s="1">
        <v>0</v>
      </c>
      <c r="AO13" s="1">
        <v>0</v>
      </c>
      <c r="AP13" s="1">
        <v>0</v>
      </c>
    </row>
    <row r="14" spans="1:42" x14ac:dyDescent="0.25">
      <c r="A14" s="1" t="s">
        <v>113</v>
      </c>
      <c r="B14" s="1" t="s">
        <v>114</v>
      </c>
      <c r="C14" s="1" t="s">
        <v>115</v>
      </c>
      <c r="D14" s="1" t="str">
        <f t="shared" ref="D14:D20" si="3">+C14</f>
        <v>ASOCIACION AGROPECUARIA CHAGUANA</v>
      </c>
      <c r="F14" s="1" t="s">
        <v>41</v>
      </c>
      <c r="G14" s="1" t="s">
        <v>42</v>
      </c>
      <c r="H14" s="1" t="s">
        <v>42</v>
      </c>
      <c r="I14" s="1" t="s">
        <v>43</v>
      </c>
      <c r="J14" s="1" t="s">
        <v>44</v>
      </c>
      <c r="K14" s="1" t="s">
        <v>45</v>
      </c>
      <c r="L14" s="1" t="s">
        <v>116</v>
      </c>
      <c r="M14" s="1" t="s">
        <v>47</v>
      </c>
      <c r="N14" s="1">
        <v>134</v>
      </c>
      <c r="O14" s="1" t="s">
        <v>45</v>
      </c>
      <c r="P14" s="1" t="s">
        <v>45</v>
      </c>
      <c r="Q14" s="1" t="s">
        <v>117</v>
      </c>
      <c r="R14" s="1" t="s">
        <v>49</v>
      </c>
      <c r="S14" s="1" t="s">
        <v>50</v>
      </c>
      <c r="T14" s="1" t="s">
        <v>50</v>
      </c>
      <c r="U14" s="1" t="s">
        <v>45</v>
      </c>
      <c r="V14" s="1" t="s">
        <v>45</v>
      </c>
      <c r="W14" s="1" t="s">
        <v>45</v>
      </c>
      <c r="X14" s="1" t="s">
        <v>45</v>
      </c>
      <c r="Y14" s="1" t="s">
        <v>45</v>
      </c>
      <c r="Z14" s="1">
        <v>0</v>
      </c>
      <c r="AA14" s="1" t="s">
        <v>45</v>
      </c>
      <c r="AB14" s="1" t="s">
        <v>45</v>
      </c>
      <c r="AC14" s="1" t="s">
        <v>45</v>
      </c>
      <c r="AD14" s="1" t="s">
        <v>45</v>
      </c>
      <c r="AE14" s="1" t="s">
        <v>45</v>
      </c>
      <c r="AF14" s="1" t="s">
        <v>51</v>
      </c>
      <c r="AG14" s="1" t="s">
        <v>45</v>
      </c>
      <c r="AH14" s="1" t="s">
        <v>45</v>
      </c>
      <c r="AI14" s="1" t="s">
        <v>45</v>
      </c>
      <c r="AJ14" s="1" t="s">
        <v>45</v>
      </c>
      <c r="AK14" s="1" t="s">
        <v>45</v>
      </c>
      <c r="AL14" s="1" t="s">
        <v>49</v>
      </c>
      <c r="AM14" s="1" t="s">
        <v>49</v>
      </c>
      <c r="AN14" s="1">
        <v>0</v>
      </c>
      <c r="AO14" s="1">
        <v>0</v>
      </c>
      <c r="AP14" s="1">
        <v>0</v>
      </c>
    </row>
    <row r="15" spans="1:42" x14ac:dyDescent="0.25">
      <c r="A15" s="1" t="s">
        <v>118</v>
      </c>
      <c r="B15" s="1" t="s">
        <v>119</v>
      </c>
      <c r="C15" s="1" t="s">
        <v>1149</v>
      </c>
      <c r="D15" s="1" t="str">
        <f t="shared" si="3"/>
        <v>ASOCIACION DE PEQUEÑOS PRODUCTORES BANANEROS EL GUABO</v>
      </c>
      <c r="F15" s="1" t="s">
        <v>41</v>
      </c>
      <c r="G15" s="1" t="s">
        <v>42</v>
      </c>
      <c r="H15" s="1" t="s">
        <v>42</v>
      </c>
      <c r="I15" s="1" t="s">
        <v>43</v>
      </c>
      <c r="J15" s="1" t="s">
        <v>44</v>
      </c>
      <c r="K15" s="1" t="s">
        <v>45</v>
      </c>
      <c r="L15" s="1" t="s">
        <v>120</v>
      </c>
      <c r="M15" s="1" t="s">
        <v>69</v>
      </c>
      <c r="N15" s="1">
        <v>58</v>
      </c>
      <c r="O15" s="1" t="s">
        <v>121</v>
      </c>
      <c r="P15" s="1" t="s">
        <v>45</v>
      </c>
      <c r="Q15" s="1" t="s">
        <v>45</v>
      </c>
      <c r="R15" s="1" t="s">
        <v>49</v>
      </c>
      <c r="S15" s="1" t="s">
        <v>50</v>
      </c>
      <c r="T15" s="1" t="s">
        <v>50</v>
      </c>
      <c r="U15" s="1" t="s">
        <v>45</v>
      </c>
      <c r="V15" s="1" t="s">
        <v>45</v>
      </c>
      <c r="W15" s="1" t="s">
        <v>45</v>
      </c>
      <c r="X15" s="1" t="s">
        <v>45</v>
      </c>
      <c r="Y15" s="1" t="s">
        <v>45</v>
      </c>
      <c r="Z15" s="1">
        <v>0</v>
      </c>
      <c r="AA15" s="1" t="s">
        <v>45</v>
      </c>
      <c r="AB15" s="1" t="s">
        <v>45</v>
      </c>
      <c r="AC15" s="1" t="s">
        <v>45</v>
      </c>
      <c r="AD15" s="1" t="s">
        <v>45</v>
      </c>
      <c r="AE15" s="1" t="s">
        <v>45</v>
      </c>
      <c r="AF15" s="1" t="s">
        <v>51</v>
      </c>
      <c r="AG15" s="1" t="s">
        <v>45</v>
      </c>
      <c r="AH15" s="1" t="s">
        <v>45</v>
      </c>
      <c r="AI15" s="1" t="s">
        <v>45</v>
      </c>
      <c r="AJ15" s="1" t="s">
        <v>45</v>
      </c>
      <c r="AK15" s="1" t="s">
        <v>45</v>
      </c>
      <c r="AL15" s="1" t="s">
        <v>49</v>
      </c>
      <c r="AM15" s="1" t="s">
        <v>49</v>
      </c>
      <c r="AN15" s="1">
        <v>0</v>
      </c>
      <c r="AO15" s="1">
        <v>0</v>
      </c>
      <c r="AP15" s="1">
        <v>0</v>
      </c>
    </row>
    <row r="16" spans="1:42" x14ac:dyDescent="0.25">
      <c r="A16" s="1" t="s">
        <v>122</v>
      </c>
      <c r="B16" s="1" t="s">
        <v>123</v>
      </c>
      <c r="C16" s="1" t="s">
        <v>124</v>
      </c>
      <c r="D16" s="1" t="str">
        <f t="shared" si="3"/>
        <v>ASOCIACION DE PRODUCCION AGRICOLA BANANEROS DEL CAMBIO ASOPR</v>
      </c>
      <c r="F16" s="1" t="s">
        <v>41</v>
      </c>
      <c r="G16" s="1" t="s">
        <v>42</v>
      </c>
      <c r="H16" s="1" t="s">
        <v>42</v>
      </c>
      <c r="I16" s="1" t="s">
        <v>43</v>
      </c>
      <c r="J16" s="1" t="s">
        <v>44</v>
      </c>
      <c r="K16" s="1" t="s">
        <v>45</v>
      </c>
      <c r="L16" s="1" t="s">
        <v>125</v>
      </c>
      <c r="M16" s="1" t="s">
        <v>62</v>
      </c>
      <c r="N16" s="1">
        <v>3</v>
      </c>
      <c r="O16" s="1" t="s">
        <v>45</v>
      </c>
      <c r="P16" s="1" t="s">
        <v>45</v>
      </c>
      <c r="Q16" s="1" t="s">
        <v>45</v>
      </c>
      <c r="R16" s="1" t="s">
        <v>49</v>
      </c>
      <c r="S16" s="1" t="s">
        <v>50</v>
      </c>
      <c r="T16" s="1" t="s">
        <v>50</v>
      </c>
      <c r="U16" s="1" t="s">
        <v>45</v>
      </c>
      <c r="V16" s="1" t="s">
        <v>45</v>
      </c>
      <c r="W16" s="1" t="s">
        <v>45</v>
      </c>
      <c r="X16" s="1" t="s">
        <v>45</v>
      </c>
      <c r="Y16" s="1" t="s">
        <v>45</v>
      </c>
      <c r="Z16" s="1">
        <v>0</v>
      </c>
      <c r="AA16" s="1" t="s">
        <v>45</v>
      </c>
      <c r="AB16" s="1" t="s">
        <v>45</v>
      </c>
      <c r="AC16" s="1" t="s">
        <v>45</v>
      </c>
      <c r="AD16" s="1" t="s">
        <v>45</v>
      </c>
      <c r="AE16" s="1" t="s">
        <v>45</v>
      </c>
      <c r="AF16" s="1" t="s">
        <v>51</v>
      </c>
      <c r="AG16" s="1" t="s">
        <v>45</v>
      </c>
      <c r="AH16" s="1" t="s">
        <v>45</v>
      </c>
      <c r="AI16" s="1" t="s">
        <v>45</v>
      </c>
      <c r="AJ16" s="1" t="s">
        <v>45</v>
      </c>
      <c r="AK16" s="1" t="s">
        <v>45</v>
      </c>
      <c r="AL16" s="1" t="s">
        <v>49</v>
      </c>
      <c r="AM16" s="1" t="s">
        <v>49</v>
      </c>
      <c r="AN16" s="1">
        <v>0</v>
      </c>
      <c r="AO16" s="1">
        <v>0</v>
      </c>
      <c r="AP16" s="1">
        <v>0</v>
      </c>
    </row>
    <row r="17" spans="1:42" x14ac:dyDescent="0.25">
      <c r="A17" s="1" t="s">
        <v>126</v>
      </c>
      <c r="B17" s="1" t="s">
        <v>127</v>
      </c>
      <c r="C17" s="1" t="s">
        <v>128</v>
      </c>
      <c r="D17" s="1" t="str">
        <f t="shared" si="3"/>
        <v>ASOCIACION DE PRODUCCION AGRICOLA ECOLOGICA DE BANANO DEL OR</v>
      </c>
      <c r="F17" s="1" t="s">
        <v>41</v>
      </c>
      <c r="G17" s="1" t="s">
        <v>42</v>
      </c>
      <c r="H17" s="1" t="s">
        <v>42</v>
      </c>
      <c r="I17" s="1" t="s">
        <v>43</v>
      </c>
      <c r="J17" s="1" t="s">
        <v>44</v>
      </c>
      <c r="K17" s="1" t="s">
        <v>45</v>
      </c>
      <c r="L17" s="1" t="s">
        <v>129</v>
      </c>
      <c r="M17" s="1" t="s">
        <v>69</v>
      </c>
      <c r="N17" s="1">
        <v>58</v>
      </c>
      <c r="O17" s="1" t="s">
        <v>45</v>
      </c>
      <c r="P17" s="1" t="s">
        <v>45</v>
      </c>
      <c r="Q17" s="1" t="s">
        <v>130</v>
      </c>
      <c r="R17" s="1" t="s">
        <v>49</v>
      </c>
      <c r="S17" s="1" t="s">
        <v>50</v>
      </c>
      <c r="T17" s="1" t="s">
        <v>50</v>
      </c>
      <c r="U17" s="1" t="s">
        <v>45</v>
      </c>
      <c r="V17" s="1" t="s">
        <v>45</v>
      </c>
      <c r="W17" s="1" t="s">
        <v>45</v>
      </c>
      <c r="X17" s="1" t="s">
        <v>45</v>
      </c>
      <c r="Y17" s="1" t="s">
        <v>45</v>
      </c>
      <c r="Z17" s="1">
        <v>0</v>
      </c>
      <c r="AA17" s="1" t="s">
        <v>45</v>
      </c>
      <c r="AB17" s="1" t="s">
        <v>45</v>
      </c>
      <c r="AC17" s="1" t="s">
        <v>45</v>
      </c>
      <c r="AD17" s="1" t="s">
        <v>45</v>
      </c>
      <c r="AE17" s="1" t="s">
        <v>45</v>
      </c>
      <c r="AF17" s="1" t="s">
        <v>51</v>
      </c>
      <c r="AG17" s="1" t="s">
        <v>45</v>
      </c>
      <c r="AH17" s="1" t="s">
        <v>45</v>
      </c>
      <c r="AI17" s="1" t="s">
        <v>45</v>
      </c>
      <c r="AJ17" s="1" t="s">
        <v>45</v>
      </c>
      <c r="AK17" s="1" t="s">
        <v>131</v>
      </c>
      <c r="AL17" s="1" t="s">
        <v>49</v>
      </c>
      <c r="AM17" s="1" t="s">
        <v>49</v>
      </c>
      <c r="AN17" s="1">
        <v>0</v>
      </c>
      <c r="AO17" s="1">
        <v>0</v>
      </c>
      <c r="AP17" s="1">
        <v>0</v>
      </c>
    </row>
    <row r="18" spans="1:42" x14ac:dyDescent="0.25">
      <c r="A18" s="1" t="s">
        <v>132</v>
      </c>
      <c r="B18" s="1" t="s">
        <v>133</v>
      </c>
      <c r="C18" s="1" t="s">
        <v>134</v>
      </c>
      <c r="D18" s="1" t="str">
        <f t="shared" si="3"/>
        <v>ASOCIACION DE PRODUCCION AGRICOLA GOLD FRUIT FRUTA DE ORO AS</v>
      </c>
      <c r="F18" s="1" t="s">
        <v>41</v>
      </c>
      <c r="G18" s="1" t="s">
        <v>42</v>
      </c>
      <c r="H18" s="1" t="s">
        <v>42</v>
      </c>
      <c r="I18" s="1" t="s">
        <v>43</v>
      </c>
      <c r="J18" s="1" t="s">
        <v>44</v>
      </c>
      <c r="K18" s="1" t="s">
        <v>45</v>
      </c>
      <c r="L18" s="1" t="s">
        <v>135</v>
      </c>
      <c r="M18" s="1" t="s">
        <v>62</v>
      </c>
      <c r="N18" s="1">
        <v>3</v>
      </c>
      <c r="O18" s="1" t="s">
        <v>45</v>
      </c>
      <c r="P18" s="1" t="s">
        <v>45</v>
      </c>
      <c r="Q18" s="1" t="s">
        <v>136</v>
      </c>
      <c r="R18" s="1" t="s">
        <v>49</v>
      </c>
      <c r="S18" s="1" t="s">
        <v>50</v>
      </c>
      <c r="T18" s="1" t="s">
        <v>50</v>
      </c>
      <c r="U18" s="1" t="s">
        <v>45</v>
      </c>
      <c r="V18" s="1" t="s">
        <v>45</v>
      </c>
      <c r="W18" s="1" t="s">
        <v>45</v>
      </c>
      <c r="X18" s="1" t="s">
        <v>45</v>
      </c>
      <c r="Y18" s="1" t="s">
        <v>45</v>
      </c>
      <c r="Z18" s="1">
        <v>0</v>
      </c>
      <c r="AA18" s="1" t="s">
        <v>45</v>
      </c>
      <c r="AB18" s="1" t="s">
        <v>45</v>
      </c>
      <c r="AC18" s="1" t="s">
        <v>45</v>
      </c>
      <c r="AD18" s="1" t="s">
        <v>45</v>
      </c>
      <c r="AE18" s="1" t="s">
        <v>45</v>
      </c>
      <c r="AF18" s="1" t="s">
        <v>51</v>
      </c>
      <c r="AG18" s="1" t="s">
        <v>45</v>
      </c>
      <c r="AH18" s="1" t="s">
        <v>45</v>
      </c>
      <c r="AI18" s="1" t="s">
        <v>45</v>
      </c>
      <c r="AJ18" s="1" t="s">
        <v>45</v>
      </c>
      <c r="AK18" s="1" t="s">
        <v>45</v>
      </c>
      <c r="AL18" s="1" t="s">
        <v>49</v>
      </c>
      <c r="AM18" s="1" t="s">
        <v>49</v>
      </c>
      <c r="AN18" s="1">
        <v>0</v>
      </c>
      <c r="AO18" s="1">
        <v>0</v>
      </c>
      <c r="AP18" s="1">
        <v>0</v>
      </c>
    </row>
    <row r="19" spans="1:42" x14ac:dyDescent="0.25">
      <c r="A19" s="1" t="s">
        <v>137</v>
      </c>
      <c r="B19" s="1" t="s">
        <v>138</v>
      </c>
      <c r="C19" s="1" t="s">
        <v>139</v>
      </c>
      <c r="D19" s="1" t="str">
        <f t="shared" si="3"/>
        <v>ASOCIACION DE PRODUCCION AGRICOLA ORGANICA PASAJE ASOPAOP</v>
      </c>
      <c r="F19" s="1" t="s">
        <v>41</v>
      </c>
      <c r="G19" s="1" t="s">
        <v>42</v>
      </c>
      <c r="H19" s="1" t="s">
        <v>42</v>
      </c>
      <c r="I19" s="1" t="s">
        <v>43</v>
      </c>
      <c r="J19" s="1" t="s">
        <v>44</v>
      </c>
      <c r="K19" s="1" t="s">
        <v>45</v>
      </c>
      <c r="L19" s="1" t="s">
        <v>140</v>
      </c>
      <c r="M19" s="1" t="s">
        <v>47</v>
      </c>
      <c r="N19" s="1">
        <v>134</v>
      </c>
      <c r="O19" s="1" t="s">
        <v>141</v>
      </c>
      <c r="P19" s="1" t="s">
        <v>45</v>
      </c>
      <c r="Q19" s="1" t="s">
        <v>142</v>
      </c>
      <c r="R19" s="1" t="s">
        <v>49</v>
      </c>
      <c r="S19" s="1" t="s">
        <v>50</v>
      </c>
      <c r="T19" s="1" t="s">
        <v>50</v>
      </c>
      <c r="U19" s="1" t="s">
        <v>45</v>
      </c>
      <c r="V19" s="1" t="s">
        <v>45</v>
      </c>
      <c r="W19" s="1" t="s">
        <v>45</v>
      </c>
      <c r="X19" s="1" t="s">
        <v>45</v>
      </c>
      <c r="Y19" s="1" t="s">
        <v>45</v>
      </c>
      <c r="Z19" s="1">
        <v>0</v>
      </c>
      <c r="AA19" s="1" t="s">
        <v>45</v>
      </c>
      <c r="AB19" s="1" t="s">
        <v>45</v>
      </c>
      <c r="AC19" s="1" t="s">
        <v>45</v>
      </c>
      <c r="AD19" s="1" t="s">
        <v>45</v>
      </c>
      <c r="AE19" s="1" t="s">
        <v>45</v>
      </c>
      <c r="AF19" s="1" t="s">
        <v>51</v>
      </c>
      <c r="AG19" s="1" t="s">
        <v>45</v>
      </c>
      <c r="AH19" s="1" t="s">
        <v>45</v>
      </c>
      <c r="AI19" s="1" t="s">
        <v>45</v>
      </c>
      <c r="AJ19" s="1" t="s">
        <v>45</v>
      </c>
      <c r="AK19" s="1" t="s">
        <v>45</v>
      </c>
      <c r="AL19" s="1" t="s">
        <v>49</v>
      </c>
      <c r="AM19" s="1" t="s">
        <v>49</v>
      </c>
      <c r="AN19" s="1">
        <v>0</v>
      </c>
      <c r="AO19" s="1">
        <v>0</v>
      </c>
      <c r="AP19" s="1">
        <v>0</v>
      </c>
    </row>
    <row r="20" spans="1:42" x14ac:dyDescent="0.25">
      <c r="A20" s="1" t="s">
        <v>143</v>
      </c>
      <c r="B20" s="1" t="s">
        <v>144</v>
      </c>
      <c r="C20" s="1" t="s">
        <v>145</v>
      </c>
      <c r="D20" s="1" t="str">
        <f t="shared" si="3"/>
        <v>ASOCIACION DE PRODUCTORES NUEVA ESPERANZA</v>
      </c>
      <c r="F20" s="1" t="s">
        <v>41</v>
      </c>
      <c r="G20" s="1" t="s">
        <v>55</v>
      </c>
      <c r="H20" s="1" t="s">
        <v>42</v>
      </c>
      <c r="I20" s="1" t="s">
        <v>43</v>
      </c>
      <c r="J20" s="1" t="s">
        <v>44</v>
      </c>
      <c r="K20" s="1" t="s">
        <v>45</v>
      </c>
      <c r="L20" s="1" t="s">
        <v>146</v>
      </c>
      <c r="M20" s="1" t="s">
        <v>62</v>
      </c>
      <c r="N20" s="1">
        <v>3</v>
      </c>
      <c r="O20" s="1" t="s">
        <v>45</v>
      </c>
      <c r="P20" s="1" t="s">
        <v>45</v>
      </c>
      <c r="Q20" s="1" t="s">
        <v>147</v>
      </c>
      <c r="R20" s="1" t="s">
        <v>49</v>
      </c>
      <c r="S20" s="1" t="s">
        <v>50</v>
      </c>
      <c r="T20" s="1" t="s">
        <v>50</v>
      </c>
      <c r="U20" s="1" t="s">
        <v>45</v>
      </c>
      <c r="V20" s="1" t="s">
        <v>45</v>
      </c>
      <c r="W20" s="1" t="s">
        <v>45</v>
      </c>
      <c r="X20" s="1" t="s">
        <v>45</v>
      </c>
      <c r="Y20" s="1" t="s">
        <v>45</v>
      </c>
      <c r="Z20" s="1">
        <v>0</v>
      </c>
      <c r="AA20" s="1" t="s">
        <v>45</v>
      </c>
      <c r="AB20" s="1" t="s">
        <v>45</v>
      </c>
      <c r="AC20" s="1" t="s">
        <v>45</v>
      </c>
      <c r="AD20" s="1" t="s">
        <v>45</v>
      </c>
      <c r="AE20" s="1" t="s">
        <v>45</v>
      </c>
      <c r="AF20" s="1" t="s">
        <v>51</v>
      </c>
      <c r="AG20" s="1" t="s">
        <v>45</v>
      </c>
      <c r="AH20" s="1" t="s">
        <v>45</v>
      </c>
      <c r="AI20" s="1" t="s">
        <v>45</v>
      </c>
      <c r="AJ20" s="1" t="s">
        <v>45</v>
      </c>
      <c r="AK20" s="1" t="s">
        <v>45</v>
      </c>
      <c r="AL20" s="1" t="s">
        <v>49</v>
      </c>
      <c r="AM20" s="1" t="s">
        <v>49</v>
      </c>
      <c r="AN20" s="1">
        <v>0</v>
      </c>
      <c r="AO20" s="1">
        <v>0</v>
      </c>
      <c r="AP20" s="1">
        <v>0</v>
      </c>
    </row>
    <row r="21" spans="1:42" x14ac:dyDescent="0.25">
      <c r="A21" s="1" t="s">
        <v>148</v>
      </c>
      <c r="B21" s="1" t="s">
        <v>149</v>
      </c>
      <c r="C21" s="1" t="s">
        <v>150</v>
      </c>
      <c r="D21" s="1" t="str">
        <f t="shared" si="0"/>
        <v>ASTUDILLO TORRES</v>
      </c>
      <c r="E21" s="1" t="str">
        <f t="shared" ref="E21:E23" si="4">RIGHT(C21, LEN(C21) - FIND(" ", C21, FIND(" ", C21, FIND(" ", C21) + 0) + 1))</f>
        <v>EDGAR YASMANI</v>
      </c>
      <c r="F21" s="1" t="s">
        <v>41</v>
      </c>
      <c r="G21" s="1" t="s">
        <v>42</v>
      </c>
      <c r="H21" s="1" t="s">
        <v>42</v>
      </c>
      <c r="I21" s="1" t="s">
        <v>43</v>
      </c>
      <c r="J21" s="1" t="s">
        <v>44</v>
      </c>
      <c r="K21" s="1" t="s">
        <v>45</v>
      </c>
      <c r="L21" s="1" t="s">
        <v>151</v>
      </c>
      <c r="M21" s="1" t="s">
        <v>62</v>
      </c>
      <c r="N21" s="1">
        <v>3</v>
      </c>
      <c r="O21" s="1" t="s">
        <v>45</v>
      </c>
      <c r="P21" s="1" t="s">
        <v>45</v>
      </c>
      <c r="Q21" s="1" t="s">
        <v>152</v>
      </c>
      <c r="R21" s="1" t="s">
        <v>49</v>
      </c>
      <c r="S21" s="1" t="s">
        <v>50</v>
      </c>
      <c r="T21" s="1" t="s">
        <v>50</v>
      </c>
      <c r="U21" s="1" t="s">
        <v>45</v>
      </c>
      <c r="V21" s="1" t="s">
        <v>45</v>
      </c>
      <c r="W21" s="1" t="s">
        <v>45</v>
      </c>
      <c r="X21" s="1" t="s">
        <v>45</v>
      </c>
      <c r="Y21" s="1" t="s">
        <v>45</v>
      </c>
      <c r="Z21" s="1">
        <v>0</v>
      </c>
      <c r="AA21" s="1" t="s">
        <v>45</v>
      </c>
      <c r="AB21" s="1" t="s">
        <v>45</v>
      </c>
      <c r="AC21" s="1" t="s">
        <v>45</v>
      </c>
      <c r="AD21" s="1" t="s">
        <v>45</v>
      </c>
      <c r="AE21" s="1" t="s">
        <v>45</v>
      </c>
      <c r="AF21" s="1" t="s">
        <v>51</v>
      </c>
      <c r="AG21" s="1" t="s">
        <v>45</v>
      </c>
      <c r="AH21" s="1" t="s">
        <v>45</v>
      </c>
      <c r="AI21" s="1" t="s">
        <v>45</v>
      </c>
      <c r="AJ21" s="1" t="s">
        <v>45</v>
      </c>
      <c r="AK21" s="1" t="s">
        <v>153</v>
      </c>
      <c r="AL21" s="1" t="s">
        <v>49</v>
      </c>
      <c r="AM21" s="1" t="s">
        <v>49</v>
      </c>
      <c r="AN21" s="1">
        <v>0</v>
      </c>
      <c r="AO21" s="1">
        <v>0</v>
      </c>
      <c r="AP21" s="1">
        <v>0</v>
      </c>
    </row>
    <row r="22" spans="1:42" x14ac:dyDescent="0.25">
      <c r="A22" s="1" t="s">
        <v>154</v>
      </c>
      <c r="B22" s="1" t="s">
        <v>155</v>
      </c>
      <c r="C22" s="1" t="s">
        <v>156</v>
      </c>
      <c r="D22" s="1" t="str">
        <f t="shared" si="0"/>
        <v>AVILA GRANDA</v>
      </c>
      <c r="E22" s="1" t="str">
        <f t="shared" si="4"/>
        <v>OLGER AUGUSTO</v>
      </c>
      <c r="F22" s="1" t="s">
        <v>41</v>
      </c>
      <c r="G22" s="1" t="s">
        <v>42</v>
      </c>
      <c r="H22" s="1" t="s">
        <v>42</v>
      </c>
      <c r="I22" s="1" t="s">
        <v>43</v>
      </c>
      <c r="J22" s="1" t="s">
        <v>44</v>
      </c>
      <c r="K22" s="1" t="s">
        <v>45</v>
      </c>
      <c r="L22" s="1" t="s">
        <v>157</v>
      </c>
      <c r="M22" s="1" t="s">
        <v>92</v>
      </c>
      <c r="N22" s="1">
        <v>78</v>
      </c>
      <c r="O22" s="1" t="s">
        <v>45</v>
      </c>
      <c r="P22" s="1" t="s">
        <v>45</v>
      </c>
      <c r="Q22" s="1" t="s">
        <v>158</v>
      </c>
      <c r="R22" s="1" t="s">
        <v>49</v>
      </c>
      <c r="S22" s="1" t="s">
        <v>50</v>
      </c>
      <c r="T22" s="1" t="s">
        <v>50</v>
      </c>
      <c r="U22" s="1" t="s">
        <v>45</v>
      </c>
      <c r="V22" s="1" t="s">
        <v>45</v>
      </c>
      <c r="W22" s="1" t="s">
        <v>45</v>
      </c>
      <c r="X22" s="1" t="s">
        <v>45</v>
      </c>
      <c r="Y22" s="1" t="s">
        <v>45</v>
      </c>
      <c r="Z22" s="1">
        <v>0</v>
      </c>
      <c r="AA22" s="1" t="s">
        <v>45</v>
      </c>
      <c r="AB22" s="1" t="s">
        <v>45</v>
      </c>
      <c r="AC22" s="1" t="s">
        <v>45</v>
      </c>
      <c r="AD22" s="1" t="s">
        <v>45</v>
      </c>
      <c r="AE22" s="1" t="s">
        <v>45</v>
      </c>
      <c r="AF22" s="1" t="s">
        <v>51</v>
      </c>
      <c r="AG22" s="1" t="s">
        <v>45</v>
      </c>
      <c r="AH22" s="1" t="s">
        <v>45</v>
      </c>
      <c r="AI22" s="1" t="s">
        <v>45</v>
      </c>
      <c r="AJ22" s="1" t="s">
        <v>45</v>
      </c>
      <c r="AK22" s="1" t="s">
        <v>159</v>
      </c>
      <c r="AL22" s="1" t="s">
        <v>49</v>
      </c>
      <c r="AM22" s="1" t="s">
        <v>49</v>
      </c>
      <c r="AN22" s="1">
        <v>0</v>
      </c>
      <c r="AO22" s="1">
        <v>0</v>
      </c>
      <c r="AP22" s="1">
        <v>0</v>
      </c>
    </row>
    <row r="23" spans="1:42" x14ac:dyDescent="0.25">
      <c r="A23" s="1" t="s">
        <v>160</v>
      </c>
      <c r="B23" s="1" t="s">
        <v>161</v>
      </c>
      <c r="C23" s="1" t="s">
        <v>162</v>
      </c>
      <c r="D23" s="1" t="str">
        <f t="shared" si="0"/>
        <v>AYALA RAMON</v>
      </c>
      <c r="E23" s="1" t="str">
        <f t="shared" si="4"/>
        <v>VICTOR HUGO</v>
      </c>
      <c r="F23" s="1" t="s">
        <v>41</v>
      </c>
      <c r="G23" s="1" t="s">
        <v>42</v>
      </c>
      <c r="H23" s="1" t="s">
        <v>42</v>
      </c>
      <c r="I23" s="1" t="s">
        <v>43</v>
      </c>
      <c r="J23" s="1" t="s">
        <v>44</v>
      </c>
      <c r="K23" s="1" t="s">
        <v>45</v>
      </c>
      <c r="L23" s="1" t="s">
        <v>163</v>
      </c>
      <c r="M23" s="1" t="s">
        <v>69</v>
      </c>
      <c r="N23" s="1">
        <v>58</v>
      </c>
      <c r="O23" s="1" t="s">
        <v>45</v>
      </c>
      <c r="P23" s="1" t="s">
        <v>45</v>
      </c>
      <c r="Q23" s="1" t="s">
        <v>164</v>
      </c>
      <c r="R23" s="1" t="s">
        <v>49</v>
      </c>
      <c r="S23" s="1" t="s">
        <v>50</v>
      </c>
      <c r="T23" s="1" t="s">
        <v>50</v>
      </c>
      <c r="U23" s="1" t="s">
        <v>45</v>
      </c>
      <c r="V23" s="1" t="s">
        <v>45</v>
      </c>
      <c r="W23" s="1" t="s">
        <v>45</v>
      </c>
      <c r="X23" s="1" t="s">
        <v>45</v>
      </c>
      <c r="Y23" s="1" t="s">
        <v>45</v>
      </c>
      <c r="Z23" s="1">
        <v>0</v>
      </c>
      <c r="AA23" s="1" t="s">
        <v>45</v>
      </c>
      <c r="AB23" s="1" t="s">
        <v>45</v>
      </c>
      <c r="AC23" s="1" t="s">
        <v>45</v>
      </c>
      <c r="AD23" s="1" t="s">
        <v>45</v>
      </c>
      <c r="AE23" s="1" t="s">
        <v>45</v>
      </c>
      <c r="AF23" s="1" t="s">
        <v>51</v>
      </c>
      <c r="AG23" s="1" t="s">
        <v>45</v>
      </c>
      <c r="AH23" s="1" t="s">
        <v>45</v>
      </c>
      <c r="AI23" s="1" t="s">
        <v>45</v>
      </c>
      <c r="AJ23" s="1" t="s">
        <v>45</v>
      </c>
      <c r="AK23" s="1" t="s">
        <v>45</v>
      </c>
      <c r="AL23" s="1" t="s">
        <v>49</v>
      </c>
      <c r="AM23" s="1" t="s">
        <v>49</v>
      </c>
      <c r="AN23" s="1">
        <v>0</v>
      </c>
      <c r="AO23" s="1">
        <v>0</v>
      </c>
      <c r="AP23" s="1">
        <v>0</v>
      </c>
    </row>
    <row r="24" spans="1:42" x14ac:dyDescent="0.25">
      <c r="A24" s="1" t="s">
        <v>165</v>
      </c>
      <c r="B24" s="1" t="s">
        <v>166</v>
      </c>
      <c r="C24" s="1" t="s">
        <v>167</v>
      </c>
      <c r="D24" s="1" t="str">
        <f>+C24</f>
        <v>BANCO DEL PACIFICO S.A</v>
      </c>
      <c r="F24" s="1" t="s">
        <v>41</v>
      </c>
      <c r="G24" s="1" t="s">
        <v>42</v>
      </c>
      <c r="H24" s="1" t="s">
        <v>42</v>
      </c>
      <c r="I24" s="1" t="s">
        <v>43</v>
      </c>
      <c r="J24" s="1" t="s">
        <v>44</v>
      </c>
      <c r="K24" s="1" t="s">
        <v>45</v>
      </c>
      <c r="L24" s="1" t="s">
        <v>168</v>
      </c>
      <c r="M24" s="1" t="s">
        <v>62</v>
      </c>
      <c r="N24" s="1">
        <v>3</v>
      </c>
      <c r="O24" s="1" t="s">
        <v>45</v>
      </c>
      <c r="P24" s="1" t="s">
        <v>45</v>
      </c>
      <c r="Q24" s="1" t="s">
        <v>45</v>
      </c>
      <c r="R24" s="1" t="s">
        <v>49</v>
      </c>
      <c r="S24" s="1" t="s">
        <v>50</v>
      </c>
      <c r="T24" s="1" t="s">
        <v>50</v>
      </c>
      <c r="U24" s="1" t="s">
        <v>45</v>
      </c>
      <c r="V24" s="1" t="s">
        <v>45</v>
      </c>
      <c r="W24" s="1" t="s">
        <v>45</v>
      </c>
      <c r="X24" s="1" t="s">
        <v>45</v>
      </c>
      <c r="Y24" s="1" t="s">
        <v>45</v>
      </c>
      <c r="Z24" s="1">
        <v>0</v>
      </c>
      <c r="AA24" s="1" t="s">
        <v>45</v>
      </c>
      <c r="AB24" s="1" t="s">
        <v>45</v>
      </c>
      <c r="AC24" s="1" t="s">
        <v>45</v>
      </c>
      <c r="AD24" s="1" t="s">
        <v>45</v>
      </c>
      <c r="AE24" s="1" t="s">
        <v>45</v>
      </c>
      <c r="AF24" s="1" t="s">
        <v>51</v>
      </c>
      <c r="AG24" s="1" t="s">
        <v>45</v>
      </c>
      <c r="AH24" s="1" t="s">
        <v>45</v>
      </c>
      <c r="AI24" s="1" t="s">
        <v>45</v>
      </c>
      <c r="AJ24" s="1" t="s">
        <v>45</v>
      </c>
      <c r="AK24" s="1" t="s">
        <v>45</v>
      </c>
      <c r="AL24" s="1" t="s">
        <v>49</v>
      </c>
      <c r="AM24" s="1" t="s">
        <v>49</v>
      </c>
      <c r="AN24" s="1">
        <v>0</v>
      </c>
      <c r="AO24" s="1">
        <v>0</v>
      </c>
      <c r="AP24" s="1">
        <v>0</v>
      </c>
    </row>
    <row r="25" spans="1:42" x14ac:dyDescent="0.25">
      <c r="A25" s="1" t="s">
        <v>169</v>
      </c>
      <c r="B25" s="1" t="s">
        <v>170</v>
      </c>
      <c r="C25" s="1" t="s">
        <v>171</v>
      </c>
      <c r="D25" s="1" t="str">
        <f t="shared" si="0"/>
        <v>BARREZUETA GUANGA</v>
      </c>
      <c r="E25" s="1" t="str">
        <f t="shared" ref="E25:E27" si="5">RIGHT(C25, LEN(C25) - FIND(" ", C25, FIND(" ", C25, FIND(" ", C25) + 0) + 1))</f>
        <v>DAMIAN MAURICIO</v>
      </c>
      <c r="F25" s="1" t="s">
        <v>41</v>
      </c>
      <c r="G25" s="1" t="s">
        <v>42</v>
      </c>
      <c r="H25" s="1" t="s">
        <v>42</v>
      </c>
      <c r="I25" s="1" t="s">
        <v>43</v>
      </c>
      <c r="J25" s="1" t="s">
        <v>44</v>
      </c>
      <c r="K25" s="1" t="s">
        <v>45</v>
      </c>
      <c r="L25" s="1" t="s">
        <v>172</v>
      </c>
      <c r="M25" s="1" t="s">
        <v>47</v>
      </c>
      <c r="N25" s="1">
        <v>134</v>
      </c>
      <c r="O25" s="1" t="s">
        <v>45</v>
      </c>
      <c r="P25" s="1" t="s">
        <v>45</v>
      </c>
      <c r="Q25" s="1" t="s">
        <v>45</v>
      </c>
      <c r="R25" s="1" t="s">
        <v>49</v>
      </c>
      <c r="S25" s="1" t="s">
        <v>50</v>
      </c>
      <c r="T25" s="1" t="s">
        <v>50</v>
      </c>
      <c r="U25" s="1" t="s">
        <v>45</v>
      </c>
      <c r="V25" s="1" t="s">
        <v>45</v>
      </c>
      <c r="W25" s="1" t="s">
        <v>45</v>
      </c>
      <c r="X25" s="1" t="s">
        <v>45</v>
      </c>
      <c r="Y25" s="1" t="s">
        <v>45</v>
      </c>
      <c r="Z25" s="1">
        <v>0</v>
      </c>
      <c r="AA25" s="1" t="s">
        <v>45</v>
      </c>
      <c r="AB25" s="1" t="s">
        <v>45</v>
      </c>
      <c r="AC25" s="1" t="s">
        <v>45</v>
      </c>
      <c r="AD25" s="1" t="s">
        <v>45</v>
      </c>
      <c r="AE25" s="1" t="s">
        <v>45</v>
      </c>
      <c r="AF25" s="1" t="s">
        <v>51</v>
      </c>
      <c r="AG25" s="1" t="s">
        <v>45</v>
      </c>
      <c r="AH25" s="1" t="s">
        <v>45</v>
      </c>
      <c r="AI25" s="1" t="s">
        <v>45</v>
      </c>
      <c r="AJ25" s="1" t="s">
        <v>45</v>
      </c>
      <c r="AK25" s="1" t="s">
        <v>45</v>
      </c>
      <c r="AL25" s="1" t="s">
        <v>49</v>
      </c>
      <c r="AM25" s="1" t="s">
        <v>49</v>
      </c>
      <c r="AN25" s="1">
        <v>0</v>
      </c>
      <c r="AO25" s="1">
        <v>0</v>
      </c>
      <c r="AP25" s="1">
        <v>0</v>
      </c>
    </row>
    <row r="26" spans="1:42" x14ac:dyDescent="0.25">
      <c r="A26" s="1" t="s">
        <v>173</v>
      </c>
      <c r="B26" s="1" t="s">
        <v>174</v>
      </c>
      <c r="C26" s="1" t="s">
        <v>175</v>
      </c>
      <c r="D26" s="1" t="str">
        <f t="shared" si="0"/>
        <v>BARROS RAMON</v>
      </c>
      <c r="E26" s="1" t="str">
        <f t="shared" si="5"/>
        <v>LIDIA VICTORIA</v>
      </c>
      <c r="F26" s="1" t="s">
        <v>41</v>
      </c>
      <c r="G26" s="1" t="s">
        <v>42</v>
      </c>
      <c r="H26" s="1" t="s">
        <v>42</v>
      </c>
      <c r="I26" s="1" t="s">
        <v>43</v>
      </c>
      <c r="J26" s="1" t="s">
        <v>44</v>
      </c>
      <c r="K26" s="1" t="s">
        <v>45</v>
      </c>
      <c r="L26" s="1" t="s">
        <v>176</v>
      </c>
      <c r="M26" s="1" t="s">
        <v>62</v>
      </c>
      <c r="N26" s="1">
        <v>3</v>
      </c>
      <c r="O26" s="1" t="s">
        <v>45</v>
      </c>
      <c r="P26" s="1" t="s">
        <v>45</v>
      </c>
      <c r="Q26" s="1" t="s">
        <v>177</v>
      </c>
      <c r="R26" s="1" t="s">
        <v>49</v>
      </c>
      <c r="S26" s="1" t="s">
        <v>50</v>
      </c>
      <c r="T26" s="1" t="s">
        <v>50</v>
      </c>
      <c r="U26" s="1" t="s">
        <v>45</v>
      </c>
      <c r="V26" s="1" t="s">
        <v>45</v>
      </c>
      <c r="W26" s="1" t="s">
        <v>45</v>
      </c>
      <c r="X26" s="1" t="s">
        <v>45</v>
      </c>
      <c r="Y26" s="1" t="s">
        <v>45</v>
      </c>
      <c r="Z26" s="1">
        <v>0</v>
      </c>
      <c r="AA26" s="1" t="s">
        <v>45</v>
      </c>
      <c r="AB26" s="1" t="s">
        <v>45</v>
      </c>
      <c r="AC26" s="1" t="s">
        <v>45</v>
      </c>
      <c r="AD26" s="1" t="s">
        <v>45</v>
      </c>
      <c r="AE26" s="1" t="s">
        <v>45</v>
      </c>
      <c r="AF26" s="1" t="s">
        <v>51</v>
      </c>
      <c r="AG26" s="1" t="s">
        <v>45</v>
      </c>
      <c r="AH26" s="1" t="s">
        <v>45</v>
      </c>
      <c r="AI26" s="1" t="s">
        <v>45</v>
      </c>
      <c r="AJ26" s="1" t="s">
        <v>45</v>
      </c>
      <c r="AK26" s="1" t="s">
        <v>45</v>
      </c>
      <c r="AL26" s="1" t="s">
        <v>49</v>
      </c>
      <c r="AM26" s="1" t="s">
        <v>49</v>
      </c>
      <c r="AN26" s="1">
        <v>0</v>
      </c>
      <c r="AO26" s="1">
        <v>0</v>
      </c>
      <c r="AP26" s="1">
        <v>0</v>
      </c>
    </row>
    <row r="27" spans="1:42" x14ac:dyDescent="0.25">
      <c r="A27" s="1" t="s">
        <v>178</v>
      </c>
      <c r="B27" s="1" t="s">
        <v>179</v>
      </c>
      <c r="C27" s="1" t="s">
        <v>180</v>
      </c>
      <c r="D27" s="1" t="str">
        <f t="shared" si="0"/>
        <v>BAYAS ORTIZ</v>
      </c>
      <c r="E27" s="1" t="str">
        <f t="shared" si="5"/>
        <v>MARIO ALCIVAR</v>
      </c>
      <c r="F27" s="1" t="s">
        <v>41</v>
      </c>
      <c r="G27" s="1" t="s">
        <v>42</v>
      </c>
      <c r="H27" s="1" t="s">
        <v>42</v>
      </c>
      <c r="I27" s="1" t="s">
        <v>43</v>
      </c>
      <c r="J27" s="1" t="s">
        <v>44</v>
      </c>
      <c r="K27" s="1" t="s">
        <v>45</v>
      </c>
      <c r="L27" s="1" t="s">
        <v>181</v>
      </c>
      <c r="M27" s="1" t="s">
        <v>62</v>
      </c>
      <c r="N27" s="1">
        <v>3</v>
      </c>
      <c r="O27" s="1" t="s">
        <v>45</v>
      </c>
      <c r="P27" s="1" t="s">
        <v>45</v>
      </c>
      <c r="Q27" s="1" t="s">
        <v>45</v>
      </c>
      <c r="R27" s="1" t="s">
        <v>49</v>
      </c>
      <c r="S27" s="1" t="s">
        <v>50</v>
      </c>
      <c r="T27" s="1" t="s">
        <v>50</v>
      </c>
      <c r="U27" s="1" t="s">
        <v>45</v>
      </c>
      <c r="V27" s="1" t="s">
        <v>45</v>
      </c>
      <c r="W27" s="1" t="s">
        <v>45</v>
      </c>
      <c r="X27" s="1" t="s">
        <v>45</v>
      </c>
      <c r="Y27" s="1" t="s">
        <v>45</v>
      </c>
      <c r="Z27" s="1">
        <v>0</v>
      </c>
      <c r="AA27" s="1" t="s">
        <v>45</v>
      </c>
      <c r="AB27" s="1" t="s">
        <v>45</v>
      </c>
      <c r="AC27" s="1" t="s">
        <v>45</v>
      </c>
      <c r="AD27" s="1" t="s">
        <v>45</v>
      </c>
      <c r="AE27" s="1" t="s">
        <v>45</v>
      </c>
      <c r="AF27" s="1" t="s">
        <v>51</v>
      </c>
      <c r="AG27" s="1" t="s">
        <v>45</v>
      </c>
      <c r="AH27" s="1" t="s">
        <v>45</v>
      </c>
      <c r="AI27" s="1" t="s">
        <v>45</v>
      </c>
      <c r="AJ27" s="1" t="s">
        <v>45</v>
      </c>
      <c r="AK27" s="1" t="s">
        <v>45</v>
      </c>
      <c r="AL27" s="1" t="s">
        <v>49</v>
      </c>
      <c r="AM27" s="1" t="s">
        <v>49</v>
      </c>
      <c r="AN27" s="1">
        <v>0</v>
      </c>
      <c r="AO27" s="1">
        <v>0</v>
      </c>
      <c r="AP27" s="1">
        <v>0</v>
      </c>
    </row>
    <row r="28" spans="1:42" x14ac:dyDescent="0.25">
      <c r="A28" s="1" t="s">
        <v>182</v>
      </c>
      <c r="B28" s="1" t="s">
        <v>183</v>
      </c>
      <c r="C28" s="1" t="s">
        <v>184</v>
      </c>
      <c r="D28" s="1" t="str">
        <f>+C28</f>
        <v>BELUMA S.A.</v>
      </c>
      <c r="F28" s="1" t="s">
        <v>41</v>
      </c>
      <c r="G28" s="1" t="s">
        <v>42</v>
      </c>
      <c r="H28" s="1" t="s">
        <v>42</v>
      </c>
      <c r="I28" s="1" t="s">
        <v>43</v>
      </c>
      <c r="J28" s="1" t="s">
        <v>44</v>
      </c>
      <c r="K28" s="1" t="s">
        <v>45</v>
      </c>
      <c r="L28" s="1" t="s">
        <v>185</v>
      </c>
      <c r="M28" s="1" t="s">
        <v>47</v>
      </c>
      <c r="N28" s="1">
        <v>134</v>
      </c>
      <c r="O28" s="1" t="s">
        <v>45</v>
      </c>
      <c r="P28" s="1" t="s">
        <v>45</v>
      </c>
      <c r="Q28" s="1" t="s">
        <v>45</v>
      </c>
      <c r="R28" s="1" t="s">
        <v>49</v>
      </c>
      <c r="S28" s="1" t="s">
        <v>50</v>
      </c>
      <c r="T28" s="1" t="s">
        <v>50</v>
      </c>
      <c r="U28" s="1" t="s">
        <v>45</v>
      </c>
      <c r="V28" s="1" t="s">
        <v>45</v>
      </c>
      <c r="W28" s="1" t="s">
        <v>45</v>
      </c>
      <c r="X28" s="1" t="s">
        <v>45</v>
      </c>
      <c r="Y28" s="1" t="s">
        <v>45</v>
      </c>
      <c r="Z28" s="1">
        <v>0</v>
      </c>
      <c r="AA28" s="1" t="s">
        <v>45</v>
      </c>
      <c r="AB28" s="1" t="s">
        <v>45</v>
      </c>
      <c r="AC28" s="1" t="s">
        <v>45</v>
      </c>
      <c r="AD28" s="1" t="s">
        <v>45</v>
      </c>
      <c r="AE28" s="1" t="s">
        <v>45</v>
      </c>
      <c r="AF28" s="1" t="s">
        <v>51</v>
      </c>
      <c r="AG28" s="1" t="s">
        <v>45</v>
      </c>
      <c r="AH28" s="1" t="s">
        <v>45</v>
      </c>
      <c r="AI28" s="1" t="s">
        <v>45</v>
      </c>
      <c r="AJ28" s="1" t="s">
        <v>45</v>
      </c>
      <c r="AK28" s="1" t="s">
        <v>186</v>
      </c>
      <c r="AL28" s="1" t="s">
        <v>49</v>
      </c>
      <c r="AM28" s="1" t="s">
        <v>49</v>
      </c>
      <c r="AN28" s="1">
        <v>0</v>
      </c>
      <c r="AO28" s="1">
        <v>0</v>
      </c>
      <c r="AP28" s="1">
        <v>0</v>
      </c>
    </row>
    <row r="29" spans="1:42" x14ac:dyDescent="0.25">
      <c r="A29" s="1" t="s">
        <v>187</v>
      </c>
      <c r="B29" s="1" t="s">
        <v>188</v>
      </c>
      <c r="C29" s="1" t="s">
        <v>189</v>
      </c>
      <c r="D29" s="1" t="str">
        <f t="shared" si="0"/>
        <v>BUENO DUMAGUALA</v>
      </c>
      <c r="E29" s="1" t="str">
        <f t="shared" ref="E29:E35" si="6">RIGHT(C29, LEN(C29) - FIND(" ", C29, FIND(" ", C29, FIND(" ", C29) + 0) + 1))</f>
        <v>FRANKLIN DIONICIO</v>
      </c>
      <c r="F29" s="1" t="s">
        <v>41</v>
      </c>
      <c r="G29" s="1" t="s">
        <v>42</v>
      </c>
      <c r="H29" s="1" t="s">
        <v>42</v>
      </c>
      <c r="I29" s="1" t="s">
        <v>43</v>
      </c>
      <c r="J29" s="1" t="s">
        <v>44</v>
      </c>
      <c r="K29" s="1" t="s">
        <v>190</v>
      </c>
      <c r="L29" s="1" t="s">
        <v>191</v>
      </c>
      <c r="M29" s="1" t="s">
        <v>97</v>
      </c>
      <c r="N29" s="1">
        <v>217</v>
      </c>
      <c r="O29" s="1" t="s">
        <v>192</v>
      </c>
      <c r="P29" s="1" t="s">
        <v>45</v>
      </c>
      <c r="Q29" s="1" t="s">
        <v>193</v>
      </c>
      <c r="R29" s="1" t="s">
        <v>49</v>
      </c>
      <c r="S29" s="1" t="s">
        <v>50</v>
      </c>
      <c r="T29" s="1" t="s">
        <v>50</v>
      </c>
      <c r="U29" s="1" t="s">
        <v>45</v>
      </c>
      <c r="V29" s="1" t="s">
        <v>45</v>
      </c>
      <c r="W29" s="1" t="s">
        <v>45</v>
      </c>
      <c r="X29" s="1" t="s">
        <v>45</v>
      </c>
      <c r="Y29" s="1" t="s">
        <v>45</v>
      </c>
      <c r="Z29" s="1">
        <v>0</v>
      </c>
      <c r="AA29" s="1" t="s">
        <v>45</v>
      </c>
      <c r="AB29" s="1" t="s">
        <v>45</v>
      </c>
      <c r="AC29" s="1" t="s">
        <v>45</v>
      </c>
      <c r="AD29" s="1" t="s">
        <v>45</v>
      </c>
      <c r="AE29" s="1" t="s">
        <v>45</v>
      </c>
      <c r="AF29" s="1" t="s">
        <v>51</v>
      </c>
      <c r="AG29" s="1" t="s">
        <v>45</v>
      </c>
      <c r="AH29" s="1" t="s">
        <v>45</v>
      </c>
      <c r="AI29" s="1" t="s">
        <v>45</v>
      </c>
      <c r="AJ29" s="1" t="s">
        <v>45</v>
      </c>
      <c r="AK29" s="1" t="s">
        <v>194</v>
      </c>
      <c r="AL29" s="1" t="s">
        <v>49</v>
      </c>
      <c r="AM29" s="1" t="s">
        <v>49</v>
      </c>
      <c r="AN29" s="1">
        <v>0</v>
      </c>
      <c r="AO29" s="1">
        <v>0</v>
      </c>
      <c r="AP29" s="1">
        <v>0</v>
      </c>
    </row>
    <row r="30" spans="1:42" x14ac:dyDescent="0.25">
      <c r="A30" s="1" t="s">
        <v>195</v>
      </c>
      <c r="B30" s="1" t="s">
        <v>196</v>
      </c>
      <c r="C30" s="1" t="s">
        <v>197</v>
      </c>
      <c r="D30" s="1" t="str">
        <f t="shared" si="0"/>
        <v>CABRERA BORBOR</v>
      </c>
      <c r="E30" s="1" t="str">
        <f t="shared" si="6"/>
        <v>JUAN CARLOS</v>
      </c>
      <c r="F30" s="1" t="s">
        <v>41</v>
      </c>
      <c r="G30" s="1" t="s">
        <v>42</v>
      </c>
      <c r="H30" s="1" t="s">
        <v>42</v>
      </c>
      <c r="I30" s="1" t="s">
        <v>43</v>
      </c>
      <c r="J30" s="1" t="s">
        <v>44</v>
      </c>
      <c r="K30" s="1" t="s">
        <v>198</v>
      </c>
      <c r="L30" s="1" t="s">
        <v>199</v>
      </c>
      <c r="M30" s="1" t="s">
        <v>69</v>
      </c>
      <c r="N30" s="1">
        <v>58</v>
      </c>
      <c r="O30" s="1" t="s">
        <v>200</v>
      </c>
      <c r="P30" s="1" t="s">
        <v>45</v>
      </c>
      <c r="Q30" s="1" t="s">
        <v>45</v>
      </c>
      <c r="R30" s="1" t="s">
        <v>49</v>
      </c>
      <c r="S30" s="1" t="s">
        <v>50</v>
      </c>
      <c r="T30" s="1" t="s">
        <v>50</v>
      </c>
      <c r="U30" s="1" t="s">
        <v>45</v>
      </c>
      <c r="V30" s="1" t="s">
        <v>45</v>
      </c>
      <c r="W30" s="1" t="s">
        <v>45</v>
      </c>
      <c r="X30" s="1" t="s">
        <v>45</v>
      </c>
      <c r="Y30" s="1" t="s">
        <v>45</v>
      </c>
      <c r="Z30" s="1">
        <v>0</v>
      </c>
      <c r="AA30" s="1" t="s">
        <v>45</v>
      </c>
      <c r="AB30" s="1" t="s">
        <v>45</v>
      </c>
      <c r="AC30" s="1" t="s">
        <v>45</v>
      </c>
      <c r="AD30" s="1" t="s">
        <v>45</v>
      </c>
      <c r="AE30" s="1" t="s">
        <v>45</v>
      </c>
      <c r="AF30" s="1" t="s">
        <v>51</v>
      </c>
      <c r="AG30" s="1" t="s">
        <v>45</v>
      </c>
      <c r="AH30" s="1" t="s">
        <v>45</v>
      </c>
      <c r="AI30" s="1" t="s">
        <v>45</v>
      </c>
      <c r="AJ30" s="1" t="s">
        <v>45</v>
      </c>
      <c r="AK30" s="1" t="s">
        <v>45</v>
      </c>
      <c r="AL30" s="1" t="s">
        <v>49</v>
      </c>
      <c r="AM30" s="1" t="s">
        <v>49</v>
      </c>
      <c r="AN30" s="1">
        <v>0</v>
      </c>
      <c r="AO30" s="1">
        <v>0</v>
      </c>
      <c r="AP30" s="1">
        <v>0</v>
      </c>
    </row>
    <row r="31" spans="1:42" x14ac:dyDescent="0.25">
      <c r="A31" s="1" t="s">
        <v>201</v>
      </c>
      <c r="B31" s="1" t="s">
        <v>202</v>
      </c>
      <c r="C31" s="1" t="s">
        <v>203</v>
      </c>
      <c r="D31" s="1" t="str">
        <f t="shared" si="0"/>
        <v>CALDERON APOLINARIO</v>
      </c>
      <c r="E31" s="1" t="str">
        <f t="shared" si="6"/>
        <v>JIMMY FERNANDO</v>
      </c>
      <c r="F31" s="1" t="s">
        <v>41</v>
      </c>
      <c r="G31" s="1" t="s">
        <v>42</v>
      </c>
      <c r="H31" s="1" t="s">
        <v>42</v>
      </c>
      <c r="I31" s="1" t="s">
        <v>43</v>
      </c>
      <c r="J31" s="1" t="s">
        <v>44</v>
      </c>
      <c r="K31" s="1" t="s">
        <v>45</v>
      </c>
      <c r="L31" s="1" t="s">
        <v>204</v>
      </c>
      <c r="M31" s="1" t="s">
        <v>69</v>
      </c>
      <c r="N31" s="1">
        <v>58</v>
      </c>
      <c r="O31" s="1" t="s">
        <v>45</v>
      </c>
      <c r="P31" s="1" t="s">
        <v>45</v>
      </c>
      <c r="Q31" s="1" t="s">
        <v>205</v>
      </c>
      <c r="R31" s="1" t="s">
        <v>49</v>
      </c>
      <c r="S31" s="1" t="s">
        <v>50</v>
      </c>
      <c r="T31" s="1" t="s">
        <v>50</v>
      </c>
      <c r="U31" s="1" t="s">
        <v>45</v>
      </c>
      <c r="V31" s="1" t="s">
        <v>45</v>
      </c>
      <c r="W31" s="1" t="s">
        <v>45</v>
      </c>
      <c r="X31" s="1" t="s">
        <v>45</v>
      </c>
      <c r="Y31" s="1" t="s">
        <v>45</v>
      </c>
      <c r="Z31" s="1">
        <v>0</v>
      </c>
      <c r="AA31" s="1" t="s">
        <v>45</v>
      </c>
      <c r="AB31" s="1" t="s">
        <v>45</v>
      </c>
      <c r="AC31" s="1" t="s">
        <v>45</v>
      </c>
      <c r="AD31" s="1" t="s">
        <v>45</v>
      </c>
      <c r="AE31" s="1" t="s">
        <v>45</v>
      </c>
      <c r="AF31" s="1" t="s">
        <v>51</v>
      </c>
      <c r="AG31" s="1" t="s">
        <v>45</v>
      </c>
      <c r="AH31" s="1" t="s">
        <v>45</v>
      </c>
      <c r="AI31" s="1" t="s">
        <v>45</v>
      </c>
      <c r="AJ31" s="1" t="s">
        <v>45</v>
      </c>
      <c r="AK31" s="1" t="s">
        <v>45</v>
      </c>
      <c r="AL31" s="1" t="s">
        <v>49</v>
      </c>
      <c r="AM31" s="1" t="s">
        <v>49</v>
      </c>
      <c r="AN31" s="1">
        <v>0</v>
      </c>
      <c r="AO31" s="1">
        <v>0</v>
      </c>
      <c r="AP31" s="1">
        <v>0</v>
      </c>
    </row>
    <row r="32" spans="1:42" x14ac:dyDescent="0.25">
      <c r="A32" s="1" t="s">
        <v>206</v>
      </c>
      <c r="B32" s="1" t="s">
        <v>207</v>
      </c>
      <c r="C32" s="1" t="s">
        <v>208</v>
      </c>
      <c r="D32" s="1" t="str">
        <f t="shared" si="0"/>
        <v>CARLOS OLVIN</v>
      </c>
      <c r="E32" s="1" t="str">
        <f t="shared" si="6"/>
        <v>BOLIVAR FARINANGO GUALICHE</v>
      </c>
      <c r="F32" s="1" t="s">
        <v>41</v>
      </c>
      <c r="G32" s="1" t="s">
        <v>42</v>
      </c>
      <c r="H32" s="1" t="s">
        <v>42</v>
      </c>
      <c r="I32" s="1" t="s">
        <v>43</v>
      </c>
      <c r="J32" s="1" t="s">
        <v>44</v>
      </c>
      <c r="K32" s="1" t="s">
        <v>45</v>
      </c>
      <c r="L32" s="1" t="s">
        <v>209</v>
      </c>
      <c r="M32" s="1" t="s">
        <v>62</v>
      </c>
      <c r="N32" s="1">
        <v>3</v>
      </c>
      <c r="O32" s="1" t="s">
        <v>210</v>
      </c>
      <c r="P32" s="1" t="s">
        <v>45</v>
      </c>
      <c r="Q32" s="1" t="s">
        <v>211</v>
      </c>
      <c r="R32" s="1" t="s">
        <v>49</v>
      </c>
      <c r="S32" s="1" t="s">
        <v>50</v>
      </c>
      <c r="T32" s="1" t="s">
        <v>50</v>
      </c>
      <c r="U32" s="1" t="s">
        <v>45</v>
      </c>
      <c r="V32" s="1" t="s">
        <v>45</v>
      </c>
      <c r="W32" s="1" t="s">
        <v>45</v>
      </c>
      <c r="X32" s="1" t="s">
        <v>45</v>
      </c>
      <c r="Y32" s="1" t="s">
        <v>45</v>
      </c>
      <c r="Z32" s="1">
        <v>0</v>
      </c>
      <c r="AA32" s="1" t="s">
        <v>45</v>
      </c>
      <c r="AB32" s="1" t="s">
        <v>45</v>
      </c>
      <c r="AC32" s="1" t="s">
        <v>45</v>
      </c>
      <c r="AD32" s="1" t="s">
        <v>45</v>
      </c>
      <c r="AE32" s="1" t="s">
        <v>45</v>
      </c>
      <c r="AF32" s="1" t="s">
        <v>51</v>
      </c>
      <c r="AG32" s="1" t="s">
        <v>45</v>
      </c>
      <c r="AH32" s="1" t="s">
        <v>45</v>
      </c>
      <c r="AI32" s="1" t="s">
        <v>45</v>
      </c>
      <c r="AJ32" s="1" t="s">
        <v>45</v>
      </c>
      <c r="AK32" s="1" t="s">
        <v>45</v>
      </c>
      <c r="AL32" s="1" t="s">
        <v>49</v>
      </c>
      <c r="AM32" s="1" t="s">
        <v>49</v>
      </c>
      <c r="AN32" s="1">
        <v>0</v>
      </c>
      <c r="AO32" s="1">
        <v>0</v>
      </c>
      <c r="AP32" s="1">
        <v>0</v>
      </c>
    </row>
    <row r="33" spans="1:42" x14ac:dyDescent="0.25">
      <c r="A33" s="1" t="s">
        <v>212</v>
      </c>
      <c r="B33" s="1" t="s">
        <v>213</v>
      </c>
      <c r="C33" s="1" t="s">
        <v>1150</v>
      </c>
      <c r="D33" s="1" t="str">
        <f t="shared" si="0"/>
        <v>CARPIO ORDOÑEZ</v>
      </c>
      <c r="E33" s="1" t="str">
        <f t="shared" si="6"/>
        <v>JUAN MIGUEL</v>
      </c>
      <c r="F33" s="1" t="s">
        <v>41</v>
      </c>
      <c r="G33" s="1" t="s">
        <v>42</v>
      </c>
      <c r="H33" s="1" t="s">
        <v>42</v>
      </c>
      <c r="I33" s="1" t="s">
        <v>43</v>
      </c>
      <c r="J33" s="1" t="s">
        <v>44</v>
      </c>
      <c r="K33" s="1" t="s">
        <v>45</v>
      </c>
      <c r="L33" s="1" t="s">
        <v>214</v>
      </c>
      <c r="M33" s="1" t="s">
        <v>97</v>
      </c>
      <c r="N33" s="1">
        <v>217</v>
      </c>
      <c r="O33" s="1" t="s">
        <v>45</v>
      </c>
      <c r="P33" s="1" t="s">
        <v>45</v>
      </c>
      <c r="Q33" s="1" t="s">
        <v>45</v>
      </c>
      <c r="R33" s="1" t="s">
        <v>49</v>
      </c>
      <c r="S33" s="1" t="s">
        <v>50</v>
      </c>
      <c r="T33" s="1" t="s">
        <v>50</v>
      </c>
      <c r="U33" s="1" t="s">
        <v>45</v>
      </c>
      <c r="V33" s="1" t="s">
        <v>45</v>
      </c>
      <c r="W33" s="1" t="s">
        <v>45</v>
      </c>
      <c r="X33" s="1" t="s">
        <v>45</v>
      </c>
      <c r="Y33" s="1" t="s">
        <v>45</v>
      </c>
      <c r="Z33" s="1">
        <v>0</v>
      </c>
      <c r="AA33" s="1" t="s">
        <v>45</v>
      </c>
      <c r="AB33" s="1" t="s">
        <v>45</v>
      </c>
      <c r="AC33" s="1" t="s">
        <v>45</v>
      </c>
      <c r="AD33" s="1" t="s">
        <v>45</v>
      </c>
      <c r="AE33" s="1" t="s">
        <v>45</v>
      </c>
      <c r="AF33" s="1" t="s">
        <v>51</v>
      </c>
      <c r="AG33" s="1" t="s">
        <v>45</v>
      </c>
      <c r="AH33" s="1" t="s">
        <v>45</v>
      </c>
      <c r="AI33" s="1" t="s">
        <v>45</v>
      </c>
      <c r="AJ33" s="1" t="s">
        <v>45</v>
      </c>
      <c r="AK33" s="1" t="s">
        <v>45</v>
      </c>
      <c r="AL33" s="1" t="s">
        <v>49</v>
      </c>
      <c r="AM33" s="1" t="s">
        <v>49</v>
      </c>
      <c r="AN33" s="1">
        <v>0</v>
      </c>
      <c r="AO33" s="1">
        <v>0</v>
      </c>
      <c r="AP33" s="1">
        <v>0</v>
      </c>
    </row>
    <row r="34" spans="1:42" x14ac:dyDescent="0.25">
      <c r="A34" s="1" t="s">
        <v>215</v>
      </c>
      <c r="B34" s="1" t="s">
        <v>216</v>
      </c>
      <c r="C34" s="1" t="s">
        <v>217</v>
      </c>
      <c r="D34" s="1" t="str">
        <f t="shared" si="0"/>
        <v>CARRIEL RAMIREZ</v>
      </c>
      <c r="E34" s="1" t="str">
        <f t="shared" si="6"/>
        <v>EDISON JAVIER</v>
      </c>
      <c r="F34" s="1" t="s">
        <v>41</v>
      </c>
      <c r="G34" s="1" t="s">
        <v>42</v>
      </c>
      <c r="H34" s="1" t="s">
        <v>42</v>
      </c>
      <c r="I34" s="1" t="s">
        <v>43</v>
      </c>
      <c r="J34" s="1" t="s">
        <v>44</v>
      </c>
      <c r="K34" s="1" t="s">
        <v>45</v>
      </c>
      <c r="L34" s="1" t="s">
        <v>218</v>
      </c>
      <c r="M34" s="1" t="s">
        <v>62</v>
      </c>
      <c r="N34" s="1">
        <v>3</v>
      </c>
      <c r="O34" s="1" t="s">
        <v>45</v>
      </c>
      <c r="P34" s="1" t="s">
        <v>45</v>
      </c>
      <c r="Q34" s="1" t="s">
        <v>45</v>
      </c>
      <c r="R34" s="1" t="s">
        <v>49</v>
      </c>
      <c r="S34" s="1" t="s">
        <v>50</v>
      </c>
      <c r="T34" s="1" t="s">
        <v>50</v>
      </c>
      <c r="U34" s="1" t="s">
        <v>45</v>
      </c>
      <c r="V34" s="1" t="s">
        <v>45</v>
      </c>
      <c r="W34" s="1" t="s">
        <v>45</v>
      </c>
      <c r="X34" s="1" t="s">
        <v>45</v>
      </c>
      <c r="Y34" s="1" t="s">
        <v>45</v>
      </c>
      <c r="Z34" s="1">
        <v>0</v>
      </c>
      <c r="AA34" s="1" t="s">
        <v>45</v>
      </c>
      <c r="AB34" s="1" t="s">
        <v>45</v>
      </c>
      <c r="AC34" s="1" t="s">
        <v>45</v>
      </c>
      <c r="AD34" s="1" t="s">
        <v>45</v>
      </c>
      <c r="AE34" s="1" t="s">
        <v>45</v>
      </c>
      <c r="AF34" s="1" t="s">
        <v>51</v>
      </c>
      <c r="AG34" s="1" t="s">
        <v>45</v>
      </c>
      <c r="AH34" s="1" t="s">
        <v>45</v>
      </c>
      <c r="AI34" s="1" t="s">
        <v>45</v>
      </c>
      <c r="AJ34" s="1" t="s">
        <v>45</v>
      </c>
      <c r="AK34" s="1" t="s">
        <v>219</v>
      </c>
      <c r="AL34" s="1" t="s">
        <v>49</v>
      </c>
      <c r="AM34" s="1" t="s">
        <v>49</v>
      </c>
      <c r="AN34" s="1">
        <v>0</v>
      </c>
      <c r="AO34" s="1">
        <v>0</v>
      </c>
      <c r="AP34" s="1">
        <v>0</v>
      </c>
    </row>
    <row r="35" spans="1:42" x14ac:dyDescent="0.25">
      <c r="A35" s="1" t="s">
        <v>220</v>
      </c>
      <c r="B35" s="1" t="s">
        <v>221</v>
      </c>
      <c r="C35" s="1" t="s">
        <v>222</v>
      </c>
      <c r="D35" s="1" t="str">
        <f t="shared" si="0"/>
        <v>CARRION CARRION</v>
      </c>
      <c r="E35" s="1" t="str">
        <f t="shared" si="6"/>
        <v>LUISA ESPERANZA</v>
      </c>
      <c r="F35" s="1" t="s">
        <v>41</v>
      </c>
      <c r="G35" s="1" t="s">
        <v>42</v>
      </c>
      <c r="H35" s="1" t="s">
        <v>42</v>
      </c>
      <c r="I35" s="1" t="s">
        <v>43</v>
      </c>
      <c r="J35" s="1" t="s">
        <v>44</v>
      </c>
      <c r="K35" s="1" t="s">
        <v>45</v>
      </c>
      <c r="L35" s="1" t="s">
        <v>223</v>
      </c>
      <c r="M35" s="1" t="s">
        <v>62</v>
      </c>
      <c r="N35" s="1">
        <v>3</v>
      </c>
      <c r="O35" s="1" t="s">
        <v>45</v>
      </c>
      <c r="P35" s="1" t="s">
        <v>45</v>
      </c>
      <c r="Q35" s="1" t="s">
        <v>224</v>
      </c>
      <c r="R35" s="1" t="s">
        <v>49</v>
      </c>
      <c r="S35" s="1" t="s">
        <v>50</v>
      </c>
      <c r="T35" s="1" t="s">
        <v>50</v>
      </c>
      <c r="U35" s="1" t="s">
        <v>45</v>
      </c>
      <c r="V35" s="1" t="s">
        <v>45</v>
      </c>
      <c r="W35" s="1" t="s">
        <v>45</v>
      </c>
      <c r="X35" s="1" t="s">
        <v>45</v>
      </c>
      <c r="Y35" s="1" t="s">
        <v>45</v>
      </c>
      <c r="Z35" s="1">
        <v>0</v>
      </c>
      <c r="AA35" s="1" t="s">
        <v>45</v>
      </c>
      <c r="AB35" s="1" t="s">
        <v>45</v>
      </c>
      <c r="AC35" s="1" t="s">
        <v>45</v>
      </c>
      <c r="AD35" s="1" t="s">
        <v>45</v>
      </c>
      <c r="AE35" s="1" t="s">
        <v>45</v>
      </c>
      <c r="AF35" s="1" t="s">
        <v>51</v>
      </c>
      <c r="AG35" s="1" t="s">
        <v>45</v>
      </c>
      <c r="AH35" s="1" t="s">
        <v>45</v>
      </c>
      <c r="AI35" s="1" t="s">
        <v>45</v>
      </c>
      <c r="AJ35" s="1" t="s">
        <v>45</v>
      </c>
      <c r="AK35" s="1" t="s">
        <v>45</v>
      </c>
      <c r="AL35" s="1" t="s">
        <v>49</v>
      </c>
      <c r="AM35" s="1" t="s">
        <v>49</v>
      </c>
      <c r="AN35" s="1">
        <v>0</v>
      </c>
      <c r="AO35" s="1">
        <v>0</v>
      </c>
      <c r="AP35" s="1">
        <v>0</v>
      </c>
    </row>
    <row r="36" spans="1:42" x14ac:dyDescent="0.25">
      <c r="A36" s="1" t="s">
        <v>225</v>
      </c>
      <c r="B36" s="1" t="s">
        <v>226</v>
      </c>
      <c r="C36" s="1" t="s">
        <v>227</v>
      </c>
      <c r="D36" s="1" t="str">
        <f>+C36</f>
        <v>CARTONES NACIONALES S.A.I. CARTOPEL</v>
      </c>
      <c r="F36" s="1" t="s">
        <v>228</v>
      </c>
      <c r="G36" s="1" t="s">
        <v>42</v>
      </c>
      <c r="H36" s="1" t="s">
        <v>42</v>
      </c>
      <c r="I36" s="1" t="s">
        <v>43</v>
      </c>
      <c r="J36" s="1" t="s">
        <v>44</v>
      </c>
      <c r="K36" s="1" t="s">
        <v>45</v>
      </c>
      <c r="L36" s="1" t="s">
        <v>229</v>
      </c>
      <c r="M36" s="1" t="s">
        <v>62</v>
      </c>
      <c r="N36" s="1">
        <v>3</v>
      </c>
      <c r="O36" s="1" t="s">
        <v>230</v>
      </c>
      <c r="P36" s="1" t="s">
        <v>45</v>
      </c>
      <c r="Q36" s="1" t="s">
        <v>231</v>
      </c>
      <c r="R36" s="1" t="s">
        <v>49</v>
      </c>
      <c r="S36" s="1" t="s">
        <v>50</v>
      </c>
      <c r="T36" s="1" t="s">
        <v>50</v>
      </c>
      <c r="U36" s="1" t="s">
        <v>45</v>
      </c>
      <c r="V36" s="1" t="s">
        <v>45</v>
      </c>
      <c r="W36" s="1" t="s">
        <v>45</v>
      </c>
      <c r="X36" s="1" t="s">
        <v>45</v>
      </c>
      <c r="Y36" s="1" t="s">
        <v>45</v>
      </c>
      <c r="Z36" s="1">
        <v>0</v>
      </c>
      <c r="AA36" s="1" t="s">
        <v>45</v>
      </c>
      <c r="AB36" s="1" t="s">
        <v>45</v>
      </c>
      <c r="AC36" s="1" t="s">
        <v>45</v>
      </c>
      <c r="AD36" s="1" t="s">
        <v>45</v>
      </c>
      <c r="AE36" s="1" t="s">
        <v>45</v>
      </c>
      <c r="AF36" s="1" t="s">
        <v>51</v>
      </c>
      <c r="AG36" s="1" t="s">
        <v>45</v>
      </c>
      <c r="AH36" s="1" t="s">
        <v>45</v>
      </c>
      <c r="AI36" s="1" t="s">
        <v>45</v>
      </c>
      <c r="AJ36" s="1" t="s">
        <v>45</v>
      </c>
      <c r="AK36" s="1" t="s">
        <v>45</v>
      </c>
      <c r="AL36" s="1" t="s">
        <v>49</v>
      </c>
      <c r="AM36" s="1" t="s">
        <v>49</v>
      </c>
      <c r="AN36" s="1">
        <v>0</v>
      </c>
      <c r="AO36" s="1">
        <v>0</v>
      </c>
      <c r="AP36" s="1">
        <v>0</v>
      </c>
    </row>
    <row r="37" spans="1:42" x14ac:dyDescent="0.25">
      <c r="A37" s="1" t="s">
        <v>232</v>
      </c>
      <c r="B37" s="1" t="s">
        <v>233</v>
      </c>
      <c r="C37" s="1" t="s">
        <v>234</v>
      </c>
      <c r="D37" s="1" t="str">
        <f t="shared" si="0"/>
        <v>CASTRO CASTRO</v>
      </c>
      <c r="E37" s="1" t="str">
        <f t="shared" ref="E37:E44" si="7">RIGHT(C37, LEN(C37) - FIND(" ", C37, FIND(" ", C37, FIND(" ", C37) + 0) + 1))</f>
        <v>JAVIER GUILLERMO</v>
      </c>
      <c r="F37" s="1" t="s">
        <v>41</v>
      </c>
      <c r="G37" s="1" t="s">
        <v>42</v>
      </c>
      <c r="H37" s="1" t="s">
        <v>42</v>
      </c>
      <c r="I37" s="1" t="s">
        <v>43</v>
      </c>
      <c r="J37" s="1" t="s">
        <v>44</v>
      </c>
      <c r="K37" s="1" t="s">
        <v>45</v>
      </c>
      <c r="L37" s="1" t="s">
        <v>235</v>
      </c>
      <c r="M37" s="1" t="s">
        <v>62</v>
      </c>
      <c r="N37" s="1">
        <v>3</v>
      </c>
      <c r="O37" s="1" t="s">
        <v>45</v>
      </c>
      <c r="P37" s="1" t="s">
        <v>45</v>
      </c>
      <c r="Q37" s="1" t="s">
        <v>236</v>
      </c>
      <c r="R37" s="1" t="s">
        <v>49</v>
      </c>
      <c r="S37" s="1" t="s">
        <v>50</v>
      </c>
      <c r="T37" s="1" t="s">
        <v>50</v>
      </c>
      <c r="U37" s="1" t="s">
        <v>45</v>
      </c>
      <c r="V37" s="1" t="s">
        <v>45</v>
      </c>
      <c r="W37" s="1" t="s">
        <v>45</v>
      </c>
      <c r="X37" s="1" t="s">
        <v>45</v>
      </c>
      <c r="Y37" s="1" t="s">
        <v>45</v>
      </c>
      <c r="Z37" s="1">
        <v>0</v>
      </c>
      <c r="AA37" s="1" t="s">
        <v>45</v>
      </c>
      <c r="AB37" s="1" t="s">
        <v>45</v>
      </c>
      <c r="AC37" s="1" t="s">
        <v>45</v>
      </c>
      <c r="AD37" s="1" t="s">
        <v>45</v>
      </c>
      <c r="AE37" s="1" t="s">
        <v>45</v>
      </c>
      <c r="AF37" s="1" t="s">
        <v>51</v>
      </c>
      <c r="AG37" s="1" t="s">
        <v>45</v>
      </c>
      <c r="AH37" s="1" t="s">
        <v>45</v>
      </c>
      <c r="AI37" s="1" t="s">
        <v>45</v>
      </c>
      <c r="AJ37" s="1" t="s">
        <v>45</v>
      </c>
      <c r="AK37" s="1" t="s">
        <v>45</v>
      </c>
      <c r="AL37" s="1" t="s">
        <v>49</v>
      </c>
      <c r="AM37" s="1" t="s">
        <v>49</v>
      </c>
      <c r="AN37" s="1">
        <v>0</v>
      </c>
      <c r="AO37" s="1">
        <v>0</v>
      </c>
      <c r="AP37" s="1">
        <v>0</v>
      </c>
    </row>
    <row r="38" spans="1:42" x14ac:dyDescent="0.25">
      <c r="A38" s="1" t="s">
        <v>237</v>
      </c>
      <c r="B38" s="1" t="s">
        <v>238</v>
      </c>
      <c r="C38" s="1" t="s">
        <v>239</v>
      </c>
      <c r="D38" s="1" t="str">
        <f t="shared" si="0"/>
        <v>CASTRO CASTRO</v>
      </c>
      <c r="E38" s="1" t="str">
        <f t="shared" si="7"/>
        <v>MARIA EUGENIA</v>
      </c>
      <c r="F38" s="1" t="s">
        <v>41</v>
      </c>
      <c r="G38" s="1" t="s">
        <v>42</v>
      </c>
      <c r="H38" s="1" t="s">
        <v>42</v>
      </c>
      <c r="I38" s="1" t="s">
        <v>43</v>
      </c>
      <c r="J38" s="1" t="s">
        <v>44</v>
      </c>
      <c r="K38" s="1" t="s">
        <v>45</v>
      </c>
      <c r="L38" s="1" t="s">
        <v>240</v>
      </c>
      <c r="M38" s="1" t="s">
        <v>62</v>
      </c>
      <c r="N38" s="1">
        <v>3</v>
      </c>
      <c r="O38" s="1" t="s">
        <v>45</v>
      </c>
      <c r="P38" s="1" t="s">
        <v>45</v>
      </c>
      <c r="Q38" s="1" t="s">
        <v>241</v>
      </c>
      <c r="R38" s="1" t="s">
        <v>49</v>
      </c>
      <c r="S38" s="1" t="s">
        <v>50</v>
      </c>
      <c r="T38" s="1" t="s">
        <v>50</v>
      </c>
      <c r="U38" s="1" t="s">
        <v>45</v>
      </c>
      <c r="V38" s="1" t="s">
        <v>45</v>
      </c>
      <c r="W38" s="1" t="s">
        <v>45</v>
      </c>
      <c r="X38" s="1" t="s">
        <v>45</v>
      </c>
      <c r="Y38" s="1" t="s">
        <v>45</v>
      </c>
      <c r="Z38" s="1">
        <v>0</v>
      </c>
      <c r="AA38" s="1" t="s">
        <v>45</v>
      </c>
      <c r="AB38" s="1" t="s">
        <v>45</v>
      </c>
      <c r="AC38" s="1" t="s">
        <v>45</v>
      </c>
      <c r="AD38" s="1" t="s">
        <v>45</v>
      </c>
      <c r="AE38" s="1" t="s">
        <v>45</v>
      </c>
      <c r="AF38" s="1" t="s">
        <v>51</v>
      </c>
      <c r="AG38" s="1" t="s">
        <v>45</v>
      </c>
      <c r="AH38" s="1" t="s">
        <v>45</v>
      </c>
      <c r="AI38" s="1" t="s">
        <v>45</v>
      </c>
      <c r="AJ38" s="1" t="s">
        <v>45</v>
      </c>
      <c r="AK38" s="1" t="s">
        <v>45</v>
      </c>
      <c r="AL38" s="1" t="s">
        <v>49</v>
      </c>
      <c r="AM38" s="1" t="s">
        <v>49</v>
      </c>
      <c r="AN38" s="1">
        <v>0</v>
      </c>
      <c r="AO38" s="1">
        <v>0</v>
      </c>
      <c r="AP38" s="1">
        <v>0</v>
      </c>
    </row>
    <row r="39" spans="1:42" x14ac:dyDescent="0.25">
      <c r="A39" s="1" t="s">
        <v>242</v>
      </c>
      <c r="B39" s="1" t="s">
        <v>243</v>
      </c>
      <c r="C39" s="1" t="s">
        <v>244</v>
      </c>
      <c r="D39" s="1" t="str">
        <f t="shared" si="0"/>
        <v>CASTRO HIDALGO</v>
      </c>
      <c r="E39" s="1" t="str">
        <f t="shared" si="7"/>
        <v>MARIA EUGENIA</v>
      </c>
      <c r="F39" s="1" t="s">
        <v>41</v>
      </c>
      <c r="G39" s="1" t="s">
        <v>42</v>
      </c>
      <c r="H39" s="1" t="s">
        <v>42</v>
      </c>
      <c r="I39" s="1" t="s">
        <v>43</v>
      </c>
      <c r="J39" s="1" t="s">
        <v>44</v>
      </c>
      <c r="K39" s="1" t="s">
        <v>45</v>
      </c>
      <c r="L39" s="1" t="s">
        <v>245</v>
      </c>
      <c r="M39" s="1" t="s">
        <v>69</v>
      </c>
      <c r="N39" s="1">
        <v>58</v>
      </c>
      <c r="O39" s="1" t="s">
        <v>45</v>
      </c>
      <c r="P39" s="1" t="s">
        <v>45</v>
      </c>
      <c r="Q39" s="1" t="s">
        <v>241</v>
      </c>
      <c r="R39" s="1" t="s">
        <v>49</v>
      </c>
      <c r="S39" s="1" t="s">
        <v>50</v>
      </c>
      <c r="T39" s="1" t="s">
        <v>50</v>
      </c>
      <c r="U39" s="1" t="s">
        <v>45</v>
      </c>
      <c r="V39" s="1" t="s">
        <v>45</v>
      </c>
      <c r="W39" s="1" t="s">
        <v>45</v>
      </c>
      <c r="X39" s="1" t="s">
        <v>45</v>
      </c>
      <c r="Y39" s="1" t="s">
        <v>45</v>
      </c>
      <c r="Z39" s="1">
        <v>0</v>
      </c>
      <c r="AA39" s="1" t="s">
        <v>45</v>
      </c>
      <c r="AB39" s="1" t="s">
        <v>45</v>
      </c>
      <c r="AC39" s="1" t="s">
        <v>45</v>
      </c>
      <c r="AD39" s="1" t="s">
        <v>45</v>
      </c>
      <c r="AE39" s="1" t="s">
        <v>45</v>
      </c>
      <c r="AF39" s="1" t="s">
        <v>51</v>
      </c>
      <c r="AG39" s="1" t="s">
        <v>45</v>
      </c>
      <c r="AH39" s="1" t="s">
        <v>45</v>
      </c>
      <c r="AI39" s="1" t="s">
        <v>45</v>
      </c>
      <c r="AJ39" s="1" t="s">
        <v>45</v>
      </c>
      <c r="AK39" s="1" t="s">
        <v>45</v>
      </c>
      <c r="AL39" s="1" t="s">
        <v>49</v>
      </c>
      <c r="AM39" s="1" t="s">
        <v>49</v>
      </c>
      <c r="AN39" s="1">
        <v>0</v>
      </c>
      <c r="AO39" s="1">
        <v>0</v>
      </c>
      <c r="AP39" s="1">
        <v>0</v>
      </c>
    </row>
    <row r="40" spans="1:42" x14ac:dyDescent="0.25">
      <c r="A40" s="1" t="s">
        <v>246</v>
      </c>
      <c r="B40" s="1" t="s">
        <v>247</v>
      </c>
      <c r="C40" s="1" t="s">
        <v>248</v>
      </c>
      <c r="D40" s="1" t="str">
        <f t="shared" si="0"/>
        <v>CEDILLO CORDOVA</v>
      </c>
      <c r="E40" s="1" t="str">
        <f t="shared" si="7"/>
        <v>SARA EMILIA</v>
      </c>
      <c r="F40" s="1" t="s">
        <v>41</v>
      </c>
      <c r="G40" s="1" t="s">
        <v>42</v>
      </c>
      <c r="H40" s="1" t="s">
        <v>42</v>
      </c>
      <c r="I40" s="1" t="s">
        <v>43</v>
      </c>
      <c r="J40" s="1" t="s">
        <v>44</v>
      </c>
      <c r="K40" s="1" t="s">
        <v>249</v>
      </c>
      <c r="L40" s="1" t="s">
        <v>250</v>
      </c>
      <c r="M40" s="1" t="s">
        <v>62</v>
      </c>
      <c r="N40" s="1">
        <v>3</v>
      </c>
      <c r="O40" s="1" t="s">
        <v>45</v>
      </c>
      <c r="P40" s="1" t="s">
        <v>45</v>
      </c>
      <c r="Q40" s="1" t="s">
        <v>45</v>
      </c>
      <c r="R40" s="1" t="s">
        <v>49</v>
      </c>
      <c r="S40" s="1" t="s">
        <v>50</v>
      </c>
      <c r="T40" s="1" t="s">
        <v>50</v>
      </c>
      <c r="U40" s="1" t="s">
        <v>45</v>
      </c>
      <c r="V40" s="1" t="s">
        <v>45</v>
      </c>
      <c r="W40" s="1" t="s">
        <v>45</v>
      </c>
      <c r="X40" s="1" t="s">
        <v>45</v>
      </c>
      <c r="Y40" s="1" t="s">
        <v>45</v>
      </c>
      <c r="Z40" s="1">
        <v>0</v>
      </c>
      <c r="AA40" s="1" t="s">
        <v>45</v>
      </c>
      <c r="AB40" s="1" t="s">
        <v>45</v>
      </c>
      <c r="AC40" s="1" t="s">
        <v>45</v>
      </c>
      <c r="AD40" s="1" t="s">
        <v>45</v>
      </c>
      <c r="AE40" s="1" t="s">
        <v>45</v>
      </c>
      <c r="AF40" s="1" t="s">
        <v>51</v>
      </c>
      <c r="AG40" s="1" t="s">
        <v>45</v>
      </c>
      <c r="AH40" s="1" t="s">
        <v>45</v>
      </c>
      <c r="AI40" s="1" t="s">
        <v>45</v>
      </c>
      <c r="AJ40" s="1" t="s">
        <v>45</v>
      </c>
      <c r="AK40" s="1" t="s">
        <v>45</v>
      </c>
      <c r="AL40" s="1" t="s">
        <v>49</v>
      </c>
      <c r="AM40" s="1" t="s">
        <v>49</v>
      </c>
      <c r="AN40" s="1">
        <v>0</v>
      </c>
      <c r="AO40" s="1">
        <v>0</v>
      </c>
      <c r="AP40" s="1">
        <v>0</v>
      </c>
    </row>
    <row r="41" spans="1:42" x14ac:dyDescent="0.25">
      <c r="A41" s="1" t="s">
        <v>251</v>
      </c>
      <c r="B41" s="1" t="s">
        <v>252</v>
      </c>
      <c r="C41" s="1" t="s">
        <v>253</v>
      </c>
      <c r="D41" s="1" t="str">
        <f t="shared" si="0"/>
        <v>CHAPA VALAREZO</v>
      </c>
      <c r="E41" s="1" t="str">
        <f t="shared" si="7"/>
        <v>LUIS LORENZO</v>
      </c>
      <c r="F41" s="1" t="s">
        <v>41</v>
      </c>
      <c r="G41" s="1" t="s">
        <v>42</v>
      </c>
      <c r="H41" s="1" t="s">
        <v>42</v>
      </c>
      <c r="I41" s="1" t="s">
        <v>43</v>
      </c>
      <c r="J41" s="1" t="s">
        <v>44</v>
      </c>
      <c r="K41" s="1" t="s">
        <v>45</v>
      </c>
      <c r="L41" s="1" t="s">
        <v>254</v>
      </c>
      <c r="M41" s="1" t="s">
        <v>62</v>
      </c>
      <c r="N41" s="1">
        <v>3</v>
      </c>
      <c r="O41" s="1" t="s">
        <v>45</v>
      </c>
      <c r="P41" s="1" t="s">
        <v>45</v>
      </c>
      <c r="Q41" s="1" t="s">
        <v>255</v>
      </c>
      <c r="R41" s="1" t="s">
        <v>49</v>
      </c>
      <c r="S41" s="1" t="s">
        <v>50</v>
      </c>
      <c r="T41" s="1" t="s">
        <v>50</v>
      </c>
      <c r="U41" s="1" t="s">
        <v>45</v>
      </c>
      <c r="V41" s="1" t="s">
        <v>45</v>
      </c>
      <c r="W41" s="1" t="s">
        <v>45</v>
      </c>
      <c r="X41" s="1" t="s">
        <v>45</v>
      </c>
      <c r="Y41" s="1" t="s">
        <v>45</v>
      </c>
      <c r="Z41" s="1">
        <v>0</v>
      </c>
      <c r="AA41" s="1" t="s">
        <v>45</v>
      </c>
      <c r="AB41" s="1" t="s">
        <v>45</v>
      </c>
      <c r="AC41" s="1" t="s">
        <v>45</v>
      </c>
      <c r="AD41" s="1" t="s">
        <v>45</v>
      </c>
      <c r="AE41" s="1" t="s">
        <v>45</v>
      </c>
      <c r="AF41" s="1" t="s">
        <v>51</v>
      </c>
      <c r="AG41" s="1" t="s">
        <v>45</v>
      </c>
      <c r="AH41" s="1" t="s">
        <v>45</v>
      </c>
      <c r="AI41" s="1" t="s">
        <v>45</v>
      </c>
      <c r="AJ41" s="1" t="s">
        <v>45</v>
      </c>
      <c r="AK41" s="1" t="s">
        <v>45</v>
      </c>
      <c r="AL41" s="1" t="s">
        <v>49</v>
      </c>
      <c r="AM41" s="1" t="s">
        <v>49</v>
      </c>
      <c r="AN41" s="1">
        <v>0</v>
      </c>
      <c r="AO41" s="1">
        <v>0</v>
      </c>
      <c r="AP41" s="1">
        <v>0</v>
      </c>
    </row>
    <row r="42" spans="1:42" x14ac:dyDescent="0.25">
      <c r="A42" s="1" t="s">
        <v>256</v>
      </c>
      <c r="B42" s="1" t="s">
        <v>257</v>
      </c>
      <c r="C42" s="1" t="s">
        <v>258</v>
      </c>
      <c r="D42" s="1" t="str">
        <f t="shared" si="0"/>
        <v>CHEN VICTOR</v>
      </c>
      <c r="E42" s="1" t="str">
        <f t="shared" si="7"/>
        <v>QINGCHENG</v>
      </c>
      <c r="F42" s="1" t="s">
        <v>41</v>
      </c>
      <c r="G42" s="1" t="s">
        <v>42</v>
      </c>
      <c r="H42" s="1" t="s">
        <v>42</v>
      </c>
      <c r="I42" s="1" t="s">
        <v>43</v>
      </c>
      <c r="J42" s="1" t="s">
        <v>44</v>
      </c>
      <c r="K42" s="1" t="s">
        <v>259</v>
      </c>
      <c r="L42" s="1" t="s">
        <v>260</v>
      </c>
      <c r="M42" s="1" t="s">
        <v>62</v>
      </c>
      <c r="N42" s="1">
        <v>3</v>
      </c>
      <c r="O42" s="1" t="s">
        <v>261</v>
      </c>
      <c r="P42" s="1" t="s">
        <v>45</v>
      </c>
      <c r="Q42" s="1" t="s">
        <v>262</v>
      </c>
      <c r="R42" s="1" t="s">
        <v>49</v>
      </c>
      <c r="S42" s="1" t="s">
        <v>50</v>
      </c>
      <c r="T42" s="1" t="s">
        <v>50</v>
      </c>
      <c r="U42" s="1" t="s">
        <v>45</v>
      </c>
      <c r="V42" s="1" t="s">
        <v>45</v>
      </c>
      <c r="W42" s="1" t="s">
        <v>45</v>
      </c>
      <c r="X42" s="1" t="s">
        <v>45</v>
      </c>
      <c r="Y42" s="1" t="s">
        <v>45</v>
      </c>
      <c r="Z42" s="1">
        <v>0</v>
      </c>
      <c r="AA42" s="1" t="s">
        <v>45</v>
      </c>
      <c r="AB42" s="1" t="s">
        <v>45</v>
      </c>
      <c r="AC42" s="1" t="s">
        <v>45</v>
      </c>
      <c r="AD42" s="1" t="s">
        <v>45</v>
      </c>
      <c r="AE42" s="1" t="s">
        <v>45</v>
      </c>
      <c r="AF42" s="1" t="s">
        <v>51</v>
      </c>
      <c r="AG42" s="1" t="s">
        <v>45</v>
      </c>
      <c r="AH42" s="1" t="s">
        <v>45</v>
      </c>
      <c r="AI42" s="1" t="s">
        <v>45</v>
      </c>
      <c r="AJ42" s="1" t="s">
        <v>45</v>
      </c>
      <c r="AK42" s="1" t="s">
        <v>263</v>
      </c>
      <c r="AL42" s="1" t="s">
        <v>49</v>
      </c>
      <c r="AM42" s="1" t="s">
        <v>49</v>
      </c>
      <c r="AN42" s="1">
        <v>0</v>
      </c>
      <c r="AO42" s="1">
        <v>0</v>
      </c>
      <c r="AP42" s="1">
        <v>0</v>
      </c>
    </row>
    <row r="43" spans="1:42" x14ac:dyDescent="0.25">
      <c r="A43" s="1" t="s">
        <v>264</v>
      </c>
      <c r="B43" s="1" t="s">
        <v>265</v>
      </c>
      <c r="C43" s="1" t="s">
        <v>266</v>
      </c>
      <c r="D43" s="1" t="str">
        <f t="shared" si="0"/>
        <v>COELLO ESPINOZA</v>
      </c>
      <c r="E43" s="1" t="str">
        <f t="shared" si="7"/>
        <v>RAFAEL ANTONIO</v>
      </c>
      <c r="F43" s="1" t="s">
        <v>41</v>
      </c>
      <c r="G43" s="1" t="s">
        <v>42</v>
      </c>
      <c r="H43" s="1" t="s">
        <v>42</v>
      </c>
      <c r="I43" s="1" t="s">
        <v>43</v>
      </c>
      <c r="J43" s="1" t="s">
        <v>44</v>
      </c>
      <c r="K43" s="1" t="s">
        <v>45</v>
      </c>
      <c r="L43" s="1" t="s">
        <v>267</v>
      </c>
      <c r="M43" s="1" t="s">
        <v>62</v>
      </c>
      <c r="N43" s="1">
        <v>3</v>
      </c>
      <c r="O43" s="1" t="s">
        <v>45</v>
      </c>
      <c r="P43" s="1" t="s">
        <v>45</v>
      </c>
      <c r="Q43" s="1" t="s">
        <v>268</v>
      </c>
      <c r="R43" s="1" t="s">
        <v>49</v>
      </c>
      <c r="S43" s="1" t="s">
        <v>50</v>
      </c>
      <c r="T43" s="1" t="s">
        <v>50</v>
      </c>
      <c r="U43" s="1" t="s">
        <v>45</v>
      </c>
      <c r="V43" s="1" t="s">
        <v>45</v>
      </c>
      <c r="W43" s="1" t="s">
        <v>45</v>
      </c>
      <c r="X43" s="1" t="s">
        <v>45</v>
      </c>
      <c r="Y43" s="1" t="s">
        <v>45</v>
      </c>
      <c r="Z43" s="1">
        <v>0</v>
      </c>
      <c r="AA43" s="1" t="s">
        <v>45</v>
      </c>
      <c r="AB43" s="1" t="s">
        <v>45</v>
      </c>
      <c r="AC43" s="1" t="s">
        <v>45</v>
      </c>
      <c r="AD43" s="1" t="s">
        <v>45</v>
      </c>
      <c r="AE43" s="1" t="s">
        <v>45</v>
      </c>
      <c r="AF43" s="1" t="s">
        <v>51</v>
      </c>
      <c r="AG43" s="1" t="s">
        <v>45</v>
      </c>
      <c r="AH43" s="1" t="s">
        <v>45</v>
      </c>
      <c r="AI43" s="1" t="s">
        <v>45</v>
      </c>
      <c r="AJ43" s="1" t="s">
        <v>45</v>
      </c>
      <c r="AK43" s="1" t="s">
        <v>45</v>
      </c>
      <c r="AL43" s="1" t="s">
        <v>49</v>
      </c>
      <c r="AM43" s="1" t="s">
        <v>49</v>
      </c>
      <c r="AN43" s="1">
        <v>0</v>
      </c>
      <c r="AO43" s="1">
        <v>0</v>
      </c>
      <c r="AP43" s="1">
        <v>0</v>
      </c>
    </row>
    <row r="44" spans="1:42" x14ac:dyDescent="0.25">
      <c r="A44" s="1" t="s">
        <v>269</v>
      </c>
      <c r="B44" s="1" t="s">
        <v>270</v>
      </c>
      <c r="C44" s="1" t="s">
        <v>271</v>
      </c>
      <c r="D44" s="1" t="str">
        <f t="shared" si="0"/>
        <v>COLLAGUAZO COLLAGUAZO</v>
      </c>
      <c r="E44" s="1" t="str">
        <f t="shared" si="7"/>
        <v>MARIA MARITZA</v>
      </c>
      <c r="F44" s="1" t="s">
        <v>41</v>
      </c>
      <c r="G44" s="1" t="s">
        <v>42</v>
      </c>
      <c r="H44" s="1" t="s">
        <v>42</v>
      </c>
      <c r="I44" s="1" t="s">
        <v>43</v>
      </c>
      <c r="J44" s="1" t="s">
        <v>44</v>
      </c>
      <c r="K44" s="1" t="s">
        <v>45</v>
      </c>
      <c r="L44" s="1" t="s">
        <v>272</v>
      </c>
      <c r="M44" s="1" t="s">
        <v>62</v>
      </c>
      <c r="N44" s="1">
        <v>3</v>
      </c>
      <c r="O44" s="1" t="s">
        <v>45</v>
      </c>
      <c r="P44" s="1" t="s">
        <v>45</v>
      </c>
      <c r="Q44" s="1" t="s">
        <v>273</v>
      </c>
      <c r="R44" s="1" t="s">
        <v>49</v>
      </c>
      <c r="S44" s="1" t="s">
        <v>50</v>
      </c>
      <c r="T44" s="1" t="s">
        <v>50</v>
      </c>
      <c r="U44" s="1" t="s">
        <v>45</v>
      </c>
      <c r="V44" s="1" t="s">
        <v>45</v>
      </c>
      <c r="W44" s="1" t="s">
        <v>45</v>
      </c>
      <c r="X44" s="1" t="s">
        <v>45</v>
      </c>
      <c r="Y44" s="1" t="s">
        <v>45</v>
      </c>
      <c r="Z44" s="1">
        <v>0</v>
      </c>
      <c r="AA44" s="1" t="s">
        <v>45</v>
      </c>
      <c r="AB44" s="1" t="s">
        <v>45</v>
      </c>
      <c r="AC44" s="1" t="s">
        <v>45</v>
      </c>
      <c r="AD44" s="1" t="s">
        <v>45</v>
      </c>
      <c r="AE44" s="1" t="s">
        <v>45</v>
      </c>
      <c r="AF44" s="1" t="s">
        <v>51</v>
      </c>
      <c r="AG44" s="1" t="s">
        <v>45</v>
      </c>
      <c r="AH44" s="1" t="s">
        <v>45</v>
      </c>
      <c r="AI44" s="1" t="s">
        <v>45</v>
      </c>
      <c r="AJ44" s="1" t="s">
        <v>45</v>
      </c>
      <c r="AK44" s="1" t="s">
        <v>45</v>
      </c>
      <c r="AL44" s="1" t="s">
        <v>49</v>
      </c>
      <c r="AM44" s="1" t="s">
        <v>49</v>
      </c>
      <c r="AN44" s="1">
        <v>0</v>
      </c>
      <c r="AO44" s="1">
        <v>0</v>
      </c>
      <c r="AP44" s="1">
        <v>0</v>
      </c>
    </row>
    <row r="45" spans="1:42" x14ac:dyDescent="0.25">
      <c r="A45" s="1" t="s">
        <v>274</v>
      </c>
      <c r="B45" s="1" t="s">
        <v>275</v>
      </c>
      <c r="C45" s="1" t="s">
        <v>276</v>
      </c>
      <c r="D45" s="1" t="str">
        <f t="shared" ref="D45:D73" si="8">+C45</f>
        <v>COMGUABO S.A.</v>
      </c>
      <c r="F45" s="1" t="s">
        <v>41</v>
      </c>
      <c r="G45" s="1" t="s">
        <v>42</v>
      </c>
      <c r="H45" s="1" t="s">
        <v>42</v>
      </c>
      <c r="I45" s="1" t="s">
        <v>43</v>
      </c>
      <c r="J45" s="1" t="s">
        <v>44</v>
      </c>
      <c r="K45" s="1" t="s">
        <v>45</v>
      </c>
      <c r="L45" s="1" t="s">
        <v>277</v>
      </c>
      <c r="M45" s="1" t="s">
        <v>69</v>
      </c>
      <c r="N45" s="1">
        <v>58</v>
      </c>
      <c r="O45" s="1" t="s">
        <v>45</v>
      </c>
      <c r="P45" s="1" t="s">
        <v>45</v>
      </c>
      <c r="Q45" s="1" t="s">
        <v>278</v>
      </c>
      <c r="R45" s="1" t="s">
        <v>49</v>
      </c>
      <c r="S45" s="1" t="s">
        <v>50</v>
      </c>
      <c r="T45" s="1" t="s">
        <v>50</v>
      </c>
      <c r="U45" s="1" t="s">
        <v>45</v>
      </c>
      <c r="V45" s="1" t="s">
        <v>45</v>
      </c>
      <c r="W45" s="1" t="s">
        <v>45</v>
      </c>
      <c r="X45" s="1" t="s">
        <v>45</v>
      </c>
      <c r="Y45" s="1" t="s">
        <v>45</v>
      </c>
      <c r="Z45" s="1">
        <v>0</v>
      </c>
      <c r="AA45" s="1" t="s">
        <v>45</v>
      </c>
      <c r="AB45" s="1" t="s">
        <v>45</v>
      </c>
      <c r="AC45" s="1" t="s">
        <v>45</v>
      </c>
      <c r="AD45" s="1" t="s">
        <v>45</v>
      </c>
      <c r="AE45" s="1" t="s">
        <v>45</v>
      </c>
      <c r="AF45" s="1" t="s">
        <v>51</v>
      </c>
      <c r="AG45" s="1" t="s">
        <v>45</v>
      </c>
      <c r="AH45" s="1" t="s">
        <v>45</v>
      </c>
      <c r="AI45" s="1" t="s">
        <v>45</v>
      </c>
      <c r="AJ45" s="1" t="s">
        <v>45</v>
      </c>
      <c r="AK45" s="1" t="s">
        <v>45</v>
      </c>
      <c r="AL45" s="1" t="s">
        <v>49</v>
      </c>
      <c r="AM45" s="1" t="s">
        <v>49</v>
      </c>
      <c r="AN45" s="1">
        <v>0</v>
      </c>
      <c r="AO45" s="1">
        <v>0</v>
      </c>
      <c r="AP45" s="1">
        <v>0</v>
      </c>
    </row>
    <row r="46" spans="1:42" x14ac:dyDescent="0.25">
      <c r="A46" s="1" t="s">
        <v>279</v>
      </c>
      <c r="B46" s="1" t="s">
        <v>280</v>
      </c>
      <c r="C46" s="1" t="s">
        <v>1151</v>
      </c>
      <c r="D46" s="1" t="str">
        <f t="shared" si="8"/>
        <v>COMPAÑIA DE CARGA PESADA LULUTRANSCAR SA</v>
      </c>
      <c r="F46" s="1" t="s">
        <v>41</v>
      </c>
      <c r="G46" s="1" t="s">
        <v>42</v>
      </c>
      <c r="H46" s="1" t="s">
        <v>42</v>
      </c>
      <c r="I46" s="1" t="s">
        <v>43</v>
      </c>
      <c r="J46" s="1" t="s">
        <v>44</v>
      </c>
      <c r="K46" s="1" t="s">
        <v>45</v>
      </c>
      <c r="L46" s="1" t="s">
        <v>281</v>
      </c>
      <c r="M46" s="1" t="s">
        <v>62</v>
      </c>
      <c r="N46" s="1">
        <v>3</v>
      </c>
      <c r="O46" s="1" t="s">
        <v>45</v>
      </c>
      <c r="P46" s="1" t="s">
        <v>45</v>
      </c>
      <c r="Q46" s="1" t="s">
        <v>282</v>
      </c>
      <c r="R46" s="1" t="s">
        <v>49</v>
      </c>
      <c r="S46" s="1" t="s">
        <v>50</v>
      </c>
      <c r="T46" s="1" t="s">
        <v>50</v>
      </c>
      <c r="U46" s="1" t="s">
        <v>45</v>
      </c>
      <c r="V46" s="1" t="s">
        <v>45</v>
      </c>
      <c r="W46" s="1" t="s">
        <v>45</v>
      </c>
      <c r="X46" s="1" t="s">
        <v>45</v>
      </c>
      <c r="Y46" s="1" t="s">
        <v>45</v>
      </c>
      <c r="Z46" s="1">
        <v>0</v>
      </c>
      <c r="AA46" s="1" t="s">
        <v>45</v>
      </c>
      <c r="AB46" s="1" t="s">
        <v>45</v>
      </c>
      <c r="AC46" s="1" t="s">
        <v>45</v>
      </c>
      <c r="AD46" s="1" t="s">
        <v>45</v>
      </c>
      <c r="AE46" s="1" t="s">
        <v>45</v>
      </c>
      <c r="AF46" s="1" t="s">
        <v>51</v>
      </c>
      <c r="AG46" s="1" t="s">
        <v>45</v>
      </c>
      <c r="AH46" s="1" t="s">
        <v>45</v>
      </c>
      <c r="AI46" s="1" t="s">
        <v>45</v>
      </c>
      <c r="AJ46" s="1" t="s">
        <v>45</v>
      </c>
      <c r="AK46" s="1" t="s">
        <v>45</v>
      </c>
      <c r="AL46" s="1" t="s">
        <v>49</v>
      </c>
      <c r="AM46" s="1" t="s">
        <v>49</v>
      </c>
      <c r="AN46" s="1">
        <v>0</v>
      </c>
      <c r="AO46" s="1">
        <v>0</v>
      </c>
      <c r="AP46" s="1">
        <v>0</v>
      </c>
    </row>
    <row r="47" spans="1:42" x14ac:dyDescent="0.25">
      <c r="A47" s="1" t="s">
        <v>283</v>
      </c>
      <c r="B47" s="1" t="s">
        <v>284</v>
      </c>
      <c r="C47" s="1" t="s">
        <v>1152</v>
      </c>
      <c r="D47" s="1" t="str">
        <f t="shared" si="8"/>
        <v>COMPAÑIA DE CARGA PESADA PIONEROS DEL CAMINO PIOCAM  SA</v>
      </c>
      <c r="F47" s="1" t="s">
        <v>41</v>
      </c>
      <c r="G47" s="1" t="s">
        <v>42</v>
      </c>
      <c r="H47" s="1" t="s">
        <v>42</v>
      </c>
      <c r="I47" s="1" t="s">
        <v>43</v>
      </c>
      <c r="J47" s="1" t="s">
        <v>44</v>
      </c>
      <c r="K47" s="1" t="s">
        <v>285</v>
      </c>
      <c r="L47" s="1" t="s">
        <v>286</v>
      </c>
      <c r="M47" s="1" t="s">
        <v>69</v>
      </c>
      <c r="N47" s="1">
        <v>58</v>
      </c>
      <c r="O47" s="1" t="s">
        <v>45</v>
      </c>
      <c r="P47" s="1" t="s">
        <v>45</v>
      </c>
      <c r="Q47" s="1" t="s">
        <v>287</v>
      </c>
      <c r="R47" s="1" t="s">
        <v>49</v>
      </c>
      <c r="S47" s="1" t="s">
        <v>50</v>
      </c>
      <c r="T47" s="1" t="s">
        <v>50</v>
      </c>
      <c r="U47" s="1" t="s">
        <v>45</v>
      </c>
      <c r="V47" s="1" t="s">
        <v>45</v>
      </c>
      <c r="W47" s="1" t="s">
        <v>45</v>
      </c>
      <c r="X47" s="1" t="s">
        <v>45</v>
      </c>
      <c r="Y47" s="1" t="s">
        <v>45</v>
      </c>
      <c r="Z47" s="1">
        <v>0</v>
      </c>
      <c r="AA47" s="1" t="s">
        <v>45</v>
      </c>
      <c r="AB47" s="1" t="s">
        <v>45</v>
      </c>
      <c r="AC47" s="1" t="s">
        <v>45</v>
      </c>
      <c r="AD47" s="1" t="s">
        <v>45</v>
      </c>
      <c r="AE47" s="1" t="s">
        <v>45</v>
      </c>
      <c r="AF47" s="1" t="s">
        <v>51</v>
      </c>
      <c r="AG47" s="1" t="s">
        <v>45</v>
      </c>
      <c r="AH47" s="1" t="s">
        <v>45</v>
      </c>
      <c r="AI47" s="1" t="s">
        <v>45</v>
      </c>
      <c r="AJ47" s="1" t="s">
        <v>45</v>
      </c>
      <c r="AK47" s="1" t="s">
        <v>45</v>
      </c>
      <c r="AL47" s="1" t="s">
        <v>49</v>
      </c>
      <c r="AM47" s="1" t="s">
        <v>49</v>
      </c>
      <c r="AN47" s="1">
        <v>0</v>
      </c>
      <c r="AO47" s="1">
        <v>0</v>
      </c>
      <c r="AP47" s="1">
        <v>0</v>
      </c>
    </row>
    <row r="48" spans="1:42" x14ac:dyDescent="0.25">
      <c r="A48" s="1" t="s">
        <v>288</v>
      </c>
      <c r="B48" s="1" t="s">
        <v>289</v>
      </c>
      <c r="C48" s="1" t="s">
        <v>1153</v>
      </c>
      <c r="D48" s="1" t="str">
        <f t="shared" si="8"/>
        <v>COMPAÑIA DE CARGA PESADA UNION ORENSE UNORCOM S.A.</v>
      </c>
      <c r="F48" s="1" t="s">
        <v>41</v>
      </c>
      <c r="G48" s="1" t="s">
        <v>42</v>
      </c>
      <c r="H48" s="1" t="s">
        <v>42</v>
      </c>
      <c r="I48" s="1" t="s">
        <v>43</v>
      </c>
      <c r="J48" s="1" t="s">
        <v>44</v>
      </c>
      <c r="K48" s="1" t="s">
        <v>45</v>
      </c>
      <c r="L48" s="1" t="s">
        <v>290</v>
      </c>
      <c r="M48" s="1" t="s">
        <v>47</v>
      </c>
      <c r="N48" s="1">
        <v>134</v>
      </c>
      <c r="O48" s="1" t="s">
        <v>45</v>
      </c>
      <c r="P48" s="1" t="s">
        <v>45</v>
      </c>
      <c r="Q48" s="1" t="s">
        <v>45</v>
      </c>
      <c r="R48" s="1" t="s">
        <v>49</v>
      </c>
      <c r="S48" s="1" t="s">
        <v>50</v>
      </c>
      <c r="T48" s="1" t="s">
        <v>50</v>
      </c>
      <c r="U48" s="1" t="s">
        <v>45</v>
      </c>
      <c r="V48" s="1" t="s">
        <v>45</v>
      </c>
      <c r="W48" s="1" t="s">
        <v>45</v>
      </c>
      <c r="X48" s="1" t="s">
        <v>45</v>
      </c>
      <c r="Y48" s="1" t="s">
        <v>45</v>
      </c>
      <c r="Z48" s="1">
        <v>0</v>
      </c>
      <c r="AA48" s="1" t="s">
        <v>45</v>
      </c>
      <c r="AB48" s="1" t="s">
        <v>45</v>
      </c>
      <c r="AC48" s="1" t="s">
        <v>45</v>
      </c>
      <c r="AD48" s="1" t="s">
        <v>45</v>
      </c>
      <c r="AE48" s="1" t="s">
        <v>45</v>
      </c>
      <c r="AF48" s="1" t="s">
        <v>51</v>
      </c>
      <c r="AG48" s="1" t="s">
        <v>45</v>
      </c>
      <c r="AH48" s="1" t="s">
        <v>45</v>
      </c>
      <c r="AI48" s="1" t="s">
        <v>45</v>
      </c>
      <c r="AJ48" s="1" t="s">
        <v>45</v>
      </c>
      <c r="AK48" s="1" t="s">
        <v>45</v>
      </c>
      <c r="AL48" s="1" t="s">
        <v>49</v>
      </c>
      <c r="AM48" s="1" t="s">
        <v>49</v>
      </c>
      <c r="AN48" s="1">
        <v>0</v>
      </c>
      <c r="AO48" s="1">
        <v>0</v>
      </c>
      <c r="AP48" s="1">
        <v>0</v>
      </c>
    </row>
    <row r="49" spans="1:42" x14ac:dyDescent="0.25">
      <c r="A49" s="1" t="s">
        <v>291</v>
      </c>
      <c r="B49" s="1" t="s">
        <v>292</v>
      </c>
      <c r="C49" s="1" t="s">
        <v>1154</v>
      </c>
      <c r="D49" s="1" t="str">
        <f t="shared" si="8"/>
        <v>COMPAÑIA DE CARGA TRANSGUABE SA</v>
      </c>
      <c r="F49" s="1" t="s">
        <v>41</v>
      </c>
      <c r="G49" s="1" t="s">
        <v>42</v>
      </c>
      <c r="H49" s="1" t="s">
        <v>42</v>
      </c>
      <c r="I49" s="1" t="s">
        <v>43</v>
      </c>
      <c r="J49" s="1" t="s">
        <v>44</v>
      </c>
      <c r="K49" s="1" t="s">
        <v>45</v>
      </c>
      <c r="L49" s="1" t="s">
        <v>293</v>
      </c>
      <c r="M49" s="1" t="s">
        <v>69</v>
      </c>
      <c r="N49" s="1">
        <v>58</v>
      </c>
      <c r="O49" s="1" t="s">
        <v>45</v>
      </c>
      <c r="P49" s="1" t="s">
        <v>45</v>
      </c>
      <c r="Q49" s="1" t="s">
        <v>294</v>
      </c>
      <c r="R49" s="1" t="s">
        <v>49</v>
      </c>
      <c r="S49" s="1" t="s">
        <v>50</v>
      </c>
      <c r="T49" s="1" t="s">
        <v>50</v>
      </c>
      <c r="U49" s="1" t="s">
        <v>45</v>
      </c>
      <c r="V49" s="1" t="s">
        <v>45</v>
      </c>
      <c r="W49" s="1" t="s">
        <v>45</v>
      </c>
      <c r="X49" s="1" t="s">
        <v>45</v>
      </c>
      <c r="Y49" s="1" t="s">
        <v>45</v>
      </c>
      <c r="Z49" s="1">
        <v>0</v>
      </c>
      <c r="AA49" s="1" t="s">
        <v>45</v>
      </c>
      <c r="AB49" s="1" t="s">
        <v>45</v>
      </c>
      <c r="AC49" s="1" t="s">
        <v>45</v>
      </c>
      <c r="AD49" s="1" t="s">
        <v>45</v>
      </c>
      <c r="AE49" s="1" t="s">
        <v>45</v>
      </c>
      <c r="AF49" s="1" t="s">
        <v>51</v>
      </c>
      <c r="AG49" s="1" t="s">
        <v>45</v>
      </c>
      <c r="AH49" s="1" t="s">
        <v>45</v>
      </c>
      <c r="AI49" s="1" t="s">
        <v>45</v>
      </c>
      <c r="AJ49" s="1" t="s">
        <v>45</v>
      </c>
      <c r="AK49" s="1" t="s">
        <v>45</v>
      </c>
      <c r="AL49" s="1" t="s">
        <v>49</v>
      </c>
      <c r="AM49" s="1" t="s">
        <v>49</v>
      </c>
      <c r="AN49" s="1">
        <v>0</v>
      </c>
      <c r="AO49" s="1">
        <v>0</v>
      </c>
      <c r="AP49" s="1">
        <v>0</v>
      </c>
    </row>
    <row r="50" spans="1:42" x14ac:dyDescent="0.25">
      <c r="A50" s="1" t="s">
        <v>295</v>
      </c>
      <c r="B50" s="1" t="s">
        <v>296</v>
      </c>
      <c r="C50" s="1" t="s">
        <v>1155</v>
      </c>
      <c r="D50" s="1" t="str">
        <f t="shared" si="8"/>
        <v>COMPAÑIA DE TRANSPORTE DE CARGA PESADA 5 DE SEPTIEMBRE SA</v>
      </c>
      <c r="F50" s="1" t="s">
        <v>41</v>
      </c>
      <c r="G50" s="1" t="s">
        <v>42</v>
      </c>
      <c r="H50" s="1" t="s">
        <v>42</v>
      </c>
      <c r="I50" s="1" t="s">
        <v>43</v>
      </c>
      <c r="J50" s="1" t="s">
        <v>44</v>
      </c>
      <c r="K50" s="1" t="s">
        <v>297</v>
      </c>
      <c r="L50" s="1" t="s">
        <v>298</v>
      </c>
      <c r="M50" s="1" t="s">
        <v>69</v>
      </c>
      <c r="N50" s="1">
        <v>58</v>
      </c>
      <c r="O50" s="1" t="s">
        <v>45</v>
      </c>
      <c r="P50" s="1" t="s">
        <v>45</v>
      </c>
      <c r="Q50" s="1" t="s">
        <v>299</v>
      </c>
      <c r="R50" s="1" t="s">
        <v>49</v>
      </c>
      <c r="S50" s="1" t="s">
        <v>50</v>
      </c>
      <c r="T50" s="1" t="s">
        <v>50</v>
      </c>
      <c r="U50" s="1" t="s">
        <v>45</v>
      </c>
      <c r="V50" s="1" t="s">
        <v>45</v>
      </c>
      <c r="W50" s="1" t="s">
        <v>45</v>
      </c>
      <c r="X50" s="1" t="s">
        <v>45</v>
      </c>
      <c r="Y50" s="1" t="s">
        <v>45</v>
      </c>
      <c r="Z50" s="1">
        <v>0</v>
      </c>
      <c r="AA50" s="1" t="s">
        <v>45</v>
      </c>
      <c r="AB50" s="1" t="s">
        <v>45</v>
      </c>
      <c r="AC50" s="1" t="s">
        <v>45</v>
      </c>
      <c r="AD50" s="1" t="s">
        <v>45</v>
      </c>
      <c r="AE50" s="1" t="s">
        <v>45</v>
      </c>
      <c r="AF50" s="1" t="s">
        <v>51</v>
      </c>
      <c r="AG50" s="1" t="s">
        <v>45</v>
      </c>
      <c r="AH50" s="1" t="s">
        <v>45</v>
      </c>
      <c r="AI50" s="1" t="s">
        <v>45</v>
      </c>
      <c r="AJ50" s="1" t="s">
        <v>45</v>
      </c>
      <c r="AK50" s="1" t="s">
        <v>45</v>
      </c>
      <c r="AL50" s="1" t="s">
        <v>49</v>
      </c>
      <c r="AM50" s="1" t="s">
        <v>49</v>
      </c>
      <c r="AN50" s="1">
        <v>0</v>
      </c>
      <c r="AO50" s="1">
        <v>0</v>
      </c>
      <c r="AP50" s="1">
        <v>0</v>
      </c>
    </row>
    <row r="51" spans="1:42" x14ac:dyDescent="0.25">
      <c r="A51" s="1" t="s">
        <v>300</v>
      </c>
      <c r="B51" s="1" t="s">
        <v>301</v>
      </c>
      <c r="C51" s="1" t="s">
        <v>1156</v>
      </c>
      <c r="D51" s="1" t="str">
        <f t="shared" si="8"/>
        <v>COMPAÑIA DE TRANSPORTE DE CARGA PESADA LA IBERIA TRANSIBERIA</v>
      </c>
      <c r="F51" s="1" t="s">
        <v>41</v>
      </c>
      <c r="G51" s="1" t="s">
        <v>42</v>
      </c>
      <c r="H51" s="1" t="s">
        <v>42</v>
      </c>
      <c r="I51" s="1" t="s">
        <v>43</v>
      </c>
      <c r="J51" s="1" t="s">
        <v>44</v>
      </c>
      <c r="K51" s="1" t="s">
        <v>302</v>
      </c>
      <c r="L51" s="1" t="s">
        <v>303</v>
      </c>
      <c r="M51" s="1" t="s">
        <v>69</v>
      </c>
      <c r="N51" s="1">
        <v>58</v>
      </c>
      <c r="O51" s="1" t="s">
        <v>45</v>
      </c>
      <c r="P51" s="1" t="s">
        <v>45</v>
      </c>
      <c r="Q51" s="1" t="s">
        <v>304</v>
      </c>
      <c r="R51" s="1" t="s">
        <v>49</v>
      </c>
      <c r="S51" s="1" t="s">
        <v>50</v>
      </c>
      <c r="T51" s="1" t="s">
        <v>50</v>
      </c>
      <c r="U51" s="1" t="s">
        <v>45</v>
      </c>
      <c r="V51" s="1" t="s">
        <v>45</v>
      </c>
      <c r="W51" s="1" t="s">
        <v>45</v>
      </c>
      <c r="X51" s="1" t="s">
        <v>45</v>
      </c>
      <c r="Y51" s="1" t="s">
        <v>45</v>
      </c>
      <c r="Z51" s="1">
        <v>0</v>
      </c>
      <c r="AA51" s="1" t="s">
        <v>45</v>
      </c>
      <c r="AB51" s="1" t="s">
        <v>45</v>
      </c>
      <c r="AC51" s="1" t="s">
        <v>45</v>
      </c>
      <c r="AD51" s="1" t="s">
        <v>45</v>
      </c>
      <c r="AE51" s="1" t="s">
        <v>45</v>
      </c>
      <c r="AF51" s="1" t="s">
        <v>51</v>
      </c>
      <c r="AG51" s="1" t="s">
        <v>45</v>
      </c>
      <c r="AH51" s="1" t="s">
        <v>45</v>
      </c>
      <c r="AI51" s="1" t="s">
        <v>45</v>
      </c>
      <c r="AJ51" s="1" t="s">
        <v>45</v>
      </c>
      <c r="AK51" s="1" t="s">
        <v>45</v>
      </c>
      <c r="AL51" s="1" t="s">
        <v>49</v>
      </c>
      <c r="AM51" s="1" t="s">
        <v>49</v>
      </c>
      <c r="AN51" s="1">
        <v>0</v>
      </c>
      <c r="AO51" s="1">
        <v>0</v>
      </c>
      <c r="AP51" s="1">
        <v>0</v>
      </c>
    </row>
    <row r="52" spans="1:42" x14ac:dyDescent="0.25">
      <c r="A52" s="1" t="s">
        <v>305</v>
      </c>
      <c r="B52" s="1" t="s">
        <v>306</v>
      </c>
      <c r="C52" s="1" t="s">
        <v>1157</v>
      </c>
      <c r="D52" s="1" t="str">
        <f t="shared" si="8"/>
        <v>COMPAÑIA DE TRANSPORTE DE CARGA PESADA LLANEROS TRUCKS INTER</v>
      </c>
      <c r="F52" s="1" t="s">
        <v>41</v>
      </c>
      <c r="G52" s="1" t="s">
        <v>42</v>
      </c>
      <c r="H52" s="1" t="s">
        <v>42</v>
      </c>
      <c r="I52" s="1" t="s">
        <v>43</v>
      </c>
      <c r="J52" s="1" t="s">
        <v>44</v>
      </c>
      <c r="K52" s="1" t="s">
        <v>45</v>
      </c>
      <c r="L52" s="1" t="s">
        <v>307</v>
      </c>
      <c r="M52" s="1" t="s">
        <v>97</v>
      </c>
      <c r="N52" s="1">
        <v>217</v>
      </c>
      <c r="O52" s="1" t="s">
        <v>308</v>
      </c>
      <c r="P52" s="1" t="s">
        <v>45</v>
      </c>
      <c r="Q52" s="1" t="s">
        <v>309</v>
      </c>
      <c r="R52" s="1" t="s">
        <v>49</v>
      </c>
      <c r="S52" s="1" t="s">
        <v>50</v>
      </c>
      <c r="T52" s="1" t="s">
        <v>50</v>
      </c>
      <c r="U52" s="1" t="s">
        <v>45</v>
      </c>
      <c r="V52" s="1" t="s">
        <v>45</v>
      </c>
      <c r="W52" s="1" t="s">
        <v>45</v>
      </c>
      <c r="X52" s="1" t="s">
        <v>45</v>
      </c>
      <c r="Y52" s="1" t="s">
        <v>45</v>
      </c>
      <c r="Z52" s="1">
        <v>0</v>
      </c>
      <c r="AA52" s="1" t="s">
        <v>45</v>
      </c>
      <c r="AB52" s="1" t="s">
        <v>45</v>
      </c>
      <c r="AC52" s="1" t="s">
        <v>45</v>
      </c>
      <c r="AD52" s="1" t="s">
        <v>45</v>
      </c>
      <c r="AE52" s="1" t="s">
        <v>45</v>
      </c>
      <c r="AF52" s="1" t="s">
        <v>51</v>
      </c>
      <c r="AG52" s="1" t="s">
        <v>45</v>
      </c>
      <c r="AH52" s="1" t="s">
        <v>45</v>
      </c>
      <c r="AI52" s="1" t="s">
        <v>45</v>
      </c>
      <c r="AJ52" s="1" t="s">
        <v>45</v>
      </c>
      <c r="AK52" s="1" t="s">
        <v>45</v>
      </c>
      <c r="AL52" s="1" t="s">
        <v>49</v>
      </c>
      <c r="AM52" s="1" t="s">
        <v>49</v>
      </c>
      <c r="AN52" s="1">
        <v>0</v>
      </c>
      <c r="AO52" s="1">
        <v>0</v>
      </c>
      <c r="AP52" s="1">
        <v>0</v>
      </c>
    </row>
    <row r="53" spans="1:42" x14ac:dyDescent="0.25">
      <c r="A53" s="1" t="s">
        <v>310</v>
      </c>
      <c r="B53" s="1" t="s">
        <v>311</v>
      </c>
      <c r="C53" s="1" t="s">
        <v>1158</v>
      </c>
      <c r="D53" s="1" t="str">
        <f t="shared" si="8"/>
        <v>COMPAÑIA DE TRANSPORTE DE CARGA PESADA TRANSPNEL SA</v>
      </c>
      <c r="F53" s="1" t="s">
        <v>41</v>
      </c>
      <c r="G53" s="1" t="s">
        <v>42</v>
      </c>
      <c r="H53" s="1" t="s">
        <v>42</v>
      </c>
      <c r="I53" s="1" t="s">
        <v>43</v>
      </c>
      <c r="J53" s="1" t="s">
        <v>44</v>
      </c>
      <c r="K53" s="1" t="s">
        <v>45</v>
      </c>
      <c r="L53" s="1" t="s">
        <v>312</v>
      </c>
      <c r="M53" s="1" t="s">
        <v>62</v>
      </c>
      <c r="N53" s="1">
        <v>3</v>
      </c>
      <c r="O53" s="1" t="s">
        <v>45</v>
      </c>
      <c r="P53" s="1" t="s">
        <v>45</v>
      </c>
      <c r="Q53" s="1" t="s">
        <v>313</v>
      </c>
      <c r="R53" s="1" t="s">
        <v>49</v>
      </c>
      <c r="S53" s="1" t="s">
        <v>50</v>
      </c>
      <c r="T53" s="1" t="s">
        <v>50</v>
      </c>
      <c r="U53" s="1" t="s">
        <v>45</v>
      </c>
      <c r="V53" s="1" t="s">
        <v>45</v>
      </c>
      <c r="W53" s="1" t="s">
        <v>45</v>
      </c>
      <c r="X53" s="1" t="s">
        <v>45</v>
      </c>
      <c r="Y53" s="1" t="s">
        <v>45</v>
      </c>
      <c r="Z53" s="1">
        <v>0</v>
      </c>
      <c r="AA53" s="1" t="s">
        <v>45</v>
      </c>
      <c r="AB53" s="1" t="s">
        <v>45</v>
      </c>
      <c r="AC53" s="1" t="s">
        <v>45</v>
      </c>
      <c r="AD53" s="1" t="s">
        <v>45</v>
      </c>
      <c r="AE53" s="1" t="s">
        <v>45</v>
      </c>
      <c r="AF53" s="1" t="s">
        <v>51</v>
      </c>
      <c r="AG53" s="1" t="s">
        <v>45</v>
      </c>
      <c r="AH53" s="1" t="s">
        <v>45</v>
      </c>
      <c r="AI53" s="1" t="s">
        <v>45</v>
      </c>
      <c r="AJ53" s="1" t="s">
        <v>45</v>
      </c>
      <c r="AK53" s="1" t="s">
        <v>45</v>
      </c>
      <c r="AL53" s="1" t="s">
        <v>49</v>
      </c>
      <c r="AM53" s="1" t="s">
        <v>49</v>
      </c>
      <c r="AN53" s="1">
        <v>0</v>
      </c>
      <c r="AO53" s="1">
        <v>0</v>
      </c>
      <c r="AP53" s="1">
        <v>0</v>
      </c>
    </row>
    <row r="54" spans="1:42" x14ac:dyDescent="0.25">
      <c r="A54" s="1" t="s">
        <v>314</v>
      </c>
      <c r="B54" s="1" t="s">
        <v>315</v>
      </c>
      <c r="C54" s="1" t="s">
        <v>1147</v>
      </c>
      <c r="D54" s="1" t="str">
        <f t="shared" si="8"/>
        <v>COMPAÑIA DE TRANSPORTE DE CARGA TRAMASUR SA</v>
      </c>
      <c r="F54" s="1" t="s">
        <v>41</v>
      </c>
      <c r="G54" s="1" t="s">
        <v>42</v>
      </c>
      <c r="H54" s="1" t="s">
        <v>42</v>
      </c>
      <c r="I54" s="1" t="s">
        <v>43</v>
      </c>
      <c r="J54" s="1" t="s">
        <v>44</v>
      </c>
      <c r="K54" s="1" t="s">
        <v>316</v>
      </c>
      <c r="L54" s="1" t="s">
        <v>317</v>
      </c>
      <c r="M54" s="1" t="s">
        <v>62</v>
      </c>
      <c r="N54" s="1">
        <v>3</v>
      </c>
      <c r="O54" s="1" t="s">
        <v>45</v>
      </c>
      <c r="P54" s="1" t="s">
        <v>45</v>
      </c>
      <c r="Q54" s="1" t="s">
        <v>273</v>
      </c>
      <c r="R54" s="1" t="s">
        <v>49</v>
      </c>
      <c r="S54" s="1" t="s">
        <v>50</v>
      </c>
      <c r="T54" s="1" t="s">
        <v>50</v>
      </c>
      <c r="U54" s="1" t="s">
        <v>45</v>
      </c>
      <c r="V54" s="1" t="s">
        <v>45</v>
      </c>
      <c r="W54" s="1" t="s">
        <v>45</v>
      </c>
      <c r="X54" s="1" t="s">
        <v>45</v>
      </c>
      <c r="Y54" s="1" t="s">
        <v>45</v>
      </c>
      <c r="Z54" s="1">
        <v>0</v>
      </c>
      <c r="AA54" s="1" t="s">
        <v>45</v>
      </c>
      <c r="AB54" s="1" t="s">
        <v>45</v>
      </c>
      <c r="AC54" s="1" t="s">
        <v>45</v>
      </c>
      <c r="AD54" s="1" t="s">
        <v>45</v>
      </c>
      <c r="AE54" s="1" t="s">
        <v>45</v>
      </c>
      <c r="AF54" s="1" t="s">
        <v>51</v>
      </c>
      <c r="AG54" s="1" t="s">
        <v>45</v>
      </c>
      <c r="AH54" s="1" t="s">
        <v>45</v>
      </c>
      <c r="AI54" s="1" t="s">
        <v>45</v>
      </c>
      <c r="AJ54" s="1" t="s">
        <v>45</v>
      </c>
      <c r="AK54" s="1" t="s">
        <v>45</v>
      </c>
      <c r="AL54" s="1" t="s">
        <v>49</v>
      </c>
      <c r="AM54" s="1" t="s">
        <v>49</v>
      </c>
      <c r="AN54" s="1">
        <v>0</v>
      </c>
      <c r="AO54" s="1">
        <v>0</v>
      </c>
      <c r="AP54" s="1">
        <v>0</v>
      </c>
    </row>
    <row r="55" spans="1:42" x14ac:dyDescent="0.25">
      <c r="A55" s="1" t="s">
        <v>318</v>
      </c>
      <c r="B55" s="1" t="s">
        <v>319</v>
      </c>
      <c r="C55" s="1" t="s">
        <v>1159</v>
      </c>
      <c r="D55" s="1" t="str">
        <f t="shared" si="8"/>
        <v>COMPAÑIA DE TRANSPORTE PESADO 5 DE JULIO SA</v>
      </c>
      <c r="F55" s="1" t="s">
        <v>41</v>
      </c>
      <c r="G55" s="1" t="s">
        <v>42</v>
      </c>
      <c r="H55" s="1" t="s">
        <v>42</v>
      </c>
      <c r="I55" s="1" t="s">
        <v>43</v>
      </c>
      <c r="J55" s="1" t="s">
        <v>44</v>
      </c>
      <c r="K55" s="1" t="s">
        <v>45</v>
      </c>
      <c r="L55" s="1" t="s">
        <v>320</v>
      </c>
      <c r="M55" s="1" t="s">
        <v>69</v>
      </c>
      <c r="N55" s="1">
        <v>58</v>
      </c>
      <c r="O55" s="1" t="s">
        <v>321</v>
      </c>
      <c r="P55" s="1" t="s">
        <v>45</v>
      </c>
      <c r="Q55" s="1" t="s">
        <v>322</v>
      </c>
      <c r="R55" s="1" t="s">
        <v>49</v>
      </c>
      <c r="S55" s="1" t="s">
        <v>50</v>
      </c>
      <c r="T55" s="1" t="s">
        <v>50</v>
      </c>
      <c r="U55" s="1" t="s">
        <v>45</v>
      </c>
      <c r="V55" s="1" t="s">
        <v>45</v>
      </c>
      <c r="W55" s="1" t="s">
        <v>45</v>
      </c>
      <c r="X55" s="1" t="s">
        <v>45</v>
      </c>
      <c r="Y55" s="1" t="s">
        <v>45</v>
      </c>
      <c r="Z55" s="1">
        <v>0</v>
      </c>
      <c r="AA55" s="1" t="s">
        <v>45</v>
      </c>
      <c r="AB55" s="1" t="s">
        <v>45</v>
      </c>
      <c r="AC55" s="1" t="s">
        <v>45</v>
      </c>
      <c r="AD55" s="1" t="s">
        <v>45</v>
      </c>
      <c r="AE55" s="1" t="s">
        <v>45</v>
      </c>
      <c r="AF55" s="1" t="s">
        <v>51</v>
      </c>
      <c r="AG55" s="1" t="s">
        <v>45</v>
      </c>
      <c r="AH55" s="1" t="s">
        <v>45</v>
      </c>
      <c r="AI55" s="1" t="s">
        <v>45</v>
      </c>
      <c r="AJ55" s="1" t="s">
        <v>45</v>
      </c>
      <c r="AK55" s="1" t="s">
        <v>45</v>
      </c>
      <c r="AL55" s="1" t="s">
        <v>49</v>
      </c>
      <c r="AM55" s="1" t="s">
        <v>49</v>
      </c>
      <c r="AN55" s="1">
        <v>0</v>
      </c>
      <c r="AO55" s="1">
        <v>0</v>
      </c>
      <c r="AP55" s="1">
        <v>0</v>
      </c>
    </row>
    <row r="56" spans="1:42" x14ac:dyDescent="0.25">
      <c r="A56" s="1" t="s">
        <v>323</v>
      </c>
      <c r="B56" s="1" t="s">
        <v>324</v>
      </c>
      <c r="C56" s="1" t="s">
        <v>1160</v>
      </c>
      <c r="D56" s="1" t="str">
        <f t="shared" si="8"/>
        <v>COMPAÑIA DE TRANSPORTE PESADO GUAPASA S.A.</v>
      </c>
      <c r="F56" s="1" t="s">
        <v>41</v>
      </c>
      <c r="G56" s="1" t="s">
        <v>42</v>
      </c>
      <c r="H56" s="1" t="s">
        <v>42</v>
      </c>
      <c r="I56" s="1" t="s">
        <v>43</v>
      </c>
      <c r="J56" s="1" t="s">
        <v>44</v>
      </c>
      <c r="K56" s="1" t="s">
        <v>45</v>
      </c>
      <c r="L56" s="1" t="s">
        <v>325</v>
      </c>
      <c r="M56" s="1" t="s">
        <v>47</v>
      </c>
      <c r="N56" s="1">
        <v>134</v>
      </c>
      <c r="O56" s="1" t="s">
        <v>45</v>
      </c>
      <c r="P56" s="1" t="s">
        <v>45</v>
      </c>
      <c r="Q56" s="1" t="s">
        <v>326</v>
      </c>
      <c r="R56" s="1" t="s">
        <v>49</v>
      </c>
      <c r="S56" s="1" t="s">
        <v>50</v>
      </c>
      <c r="T56" s="1" t="s">
        <v>50</v>
      </c>
      <c r="U56" s="1" t="s">
        <v>45</v>
      </c>
      <c r="V56" s="1" t="s">
        <v>45</v>
      </c>
      <c r="W56" s="1" t="s">
        <v>45</v>
      </c>
      <c r="X56" s="1" t="s">
        <v>45</v>
      </c>
      <c r="Y56" s="1" t="s">
        <v>45</v>
      </c>
      <c r="Z56" s="1">
        <v>0</v>
      </c>
      <c r="AA56" s="1" t="s">
        <v>45</v>
      </c>
      <c r="AB56" s="1" t="s">
        <v>45</v>
      </c>
      <c r="AC56" s="1" t="s">
        <v>45</v>
      </c>
      <c r="AD56" s="1" t="s">
        <v>45</v>
      </c>
      <c r="AE56" s="1" t="s">
        <v>45</v>
      </c>
      <c r="AF56" s="1" t="s">
        <v>51</v>
      </c>
      <c r="AG56" s="1" t="s">
        <v>45</v>
      </c>
      <c r="AH56" s="1" t="s">
        <v>45</v>
      </c>
      <c r="AI56" s="1" t="s">
        <v>45</v>
      </c>
      <c r="AJ56" s="1" t="s">
        <v>45</v>
      </c>
      <c r="AK56" s="1" t="s">
        <v>45</v>
      </c>
      <c r="AL56" s="1" t="s">
        <v>49</v>
      </c>
      <c r="AM56" s="1" t="s">
        <v>49</v>
      </c>
      <c r="AN56" s="1">
        <v>0</v>
      </c>
      <c r="AO56" s="1">
        <v>0</v>
      </c>
      <c r="AP56" s="1">
        <v>0</v>
      </c>
    </row>
    <row r="57" spans="1:42" x14ac:dyDescent="0.25">
      <c r="A57" s="1" t="s">
        <v>327</v>
      </c>
      <c r="B57" s="1" t="s">
        <v>328</v>
      </c>
      <c r="C57" s="1" t="s">
        <v>1161</v>
      </c>
      <c r="D57" s="1" t="str">
        <f t="shared" si="8"/>
        <v>COMPAÑIA DE TRANSPORTE PESADO LLOACANA E HIJOS SA TRANSPORTE</v>
      </c>
      <c r="F57" s="1" t="s">
        <v>41</v>
      </c>
      <c r="G57" s="1" t="s">
        <v>55</v>
      </c>
      <c r="H57" s="1" t="s">
        <v>42</v>
      </c>
      <c r="I57" s="1" t="s">
        <v>43</v>
      </c>
      <c r="J57" s="1" t="s">
        <v>44</v>
      </c>
      <c r="K57" s="1" t="s">
        <v>45</v>
      </c>
      <c r="L57" s="1" t="s">
        <v>329</v>
      </c>
      <c r="M57" s="1" t="s">
        <v>57</v>
      </c>
      <c r="N57" s="1">
        <v>161</v>
      </c>
      <c r="O57" s="1" t="s">
        <v>330</v>
      </c>
      <c r="P57" s="1" t="s">
        <v>45</v>
      </c>
      <c r="Q57" s="1" t="s">
        <v>331</v>
      </c>
      <c r="R57" s="1" t="s">
        <v>49</v>
      </c>
      <c r="S57" s="1" t="s">
        <v>50</v>
      </c>
      <c r="T57" s="1" t="s">
        <v>50</v>
      </c>
      <c r="U57" s="1" t="s">
        <v>45</v>
      </c>
      <c r="V57" s="1" t="s">
        <v>45</v>
      </c>
      <c r="W57" s="1" t="s">
        <v>45</v>
      </c>
      <c r="X57" s="1" t="s">
        <v>45</v>
      </c>
      <c r="Y57" s="1" t="s">
        <v>45</v>
      </c>
      <c r="Z57" s="1">
        <v>0</v>
      </c>
      <c r="AA57" s="1" t="s">
        <v>45</v>
      </c>
      <c r="AB57" s="1" t="s">
        <v>45</v>
      </c>
      <c r="AC57" s="1" t="s">
        <v>45</v>
      </c>
      <c r="AD57" s="1" t="s">
        <v>45</v>
      </c>
      <c r="AE57" s="1" t="s">
        <v>45</v>
      </c>
      <c r="AF57" s="1" t="s">
        <v>51</v>
      </c>
      <c r="AG57" s="1" t="s">
        <v>45</v>
      </c>
      <c r="AH57" s="1" t="s">
        <v>45</v>
      </c>
      <c r="AI57" s="1" t="s">
        <v>45</v>
      </c>
      <c r="AJ57" s="1" t="s">
        <v>45</v>
      </c>
      <c r="AK57" s="1" t="s">
        <v>45</v>
      </c>
      <c r="AL57" s="1" t="s">
        <v>49</v>
      </c>
      <c r="AM57" s="1" t="s">
        <v>49</v>
      </c>
      <c r="AN57" s="1">
        <v>0</v>
      </c>
      <c r="AO57" s="1">
        <v>0</v>
      </c>
      <c r="AP57" s="1">
        <v>0</v>
      </c>
    </row>
    <row r="58" spans="1:42" x14ac:dyDescent="0.25">
      <c r="A58" s="1" t="s">
        <v>332</v>
      </c>
      <c r="B58" s="1" t="s">
        <v>333</v>
      </c>
      <c r="C58" s="1" t="s">
        <v>1162</v>
      </c>
      <c r="D58" s="1" t="str">
        <f t="shared" si="8"/>
        <v>COMPAÑIA DE TRANSPORTE PESADO OROVEMA S.A.</v>
      </c>
      <c r="F58" s="1" t="s">
        <v>41</v>
      </c>
      <c r="G58" s="1" t="s">
        <v>42</v>
      </c>
      <c r="H58" s="1" t="s">
        <v>42</v>
      </c>
      <c r="I58" s="1" t="s">
        <v>43</v>
      </c>
      <c r="J58" s="1" t="s">
        <v>44</v>
      </c>
      <c r="K58" s="1" t="s">
        <v>334</v>
      </c>
      <c r="L58" s="1" t="s">
        <v>62</v>
      </c>
      <c r="M58" s="1" t="s">
        <v>62</v>
      </c>
      <c r="N58" s="1">
        <v>3</v>
      </c>
      <c r="O58" s="1" t="s">
        <v>45</v>
      </c>
      <c r="P58" s="1" t="s">
        <v>45</v>
      </c>
      <c r="Q58" s="1" t="s">
        <v>335</v>
      </c>
      <c r="R58" s="1" t="s">
        <v>49</v>
      </c>
      <c r="S58" s="1" t="s">
        <v>50</v>
      </c>
      <c r="T58" s="1" t="s">
        <v>50</v>
      </c>
      <c r="U58" s="1" t="s">
        <v>45</v>
      </c>
      <c r="V58" s="1" t="s">
        <v>45</v>
      </c>
      <c r="W58" s="1" t="s">
        <v>45</v>
      </c>
      <c r="X58" s="1" t="s">
        <v>45</v>
      </c>
      <c r="Y58" s="1" t="s">
        <v>45</v>
      </c>
      <c r="Z58" s="1">
        <v>0</v>
      </c>
      <c r="AA58" s="1" t="s">
        <v>45</v>
      </c>
      <c r="AB58" s="1" t="s">
        <v>45</v>
      </c>
      <c r="AC58" s="1" t="s">
        <v>45</v>
      </c>
      <c r="AD58" s="1" t="s">
        <v>45</v>
      </c>
      <c r="AE58" s="1" t="s">
        <v>45</v>
      </c>
      <c r="AF58" s="1" t="s">
        <v>51</v>
      </c>
      <c r="AG58" s="1" t="s">
        <v>45</v>
      </c>
      <c r="AH58" s="1" t="s">
        <v>45</v>
      </c>
      <c r="AI58" s="1" t="s">
        <v>45</v>
      </c>
      <c r="AJ58" s="1" t="s">
        <v>45</v>
      </c>
      <c r="AK58" s="1" t="s">
        <v>45</v>
      </c>
      <c r="AL58" s="1" t="s">
        <v>49</v>
      </c>
      <c r="AM58" s="1" t="s">
        <v>49</v>
      </c>
      <c r="AN58" s="1">
        <v>0</v>
      </c>
      <c r="AO58" s="1">
        <v>0</v>
      </c>
      <c r="AP58" s="1">
        <v>0</v>
      </c>
    </row>
    <row r="59" spans="1:42" x14ac:dyDescent="0.25">
      <c r="A59" s="1" t="s">
        <v>336</v>
      </c>
      <c r="B59" s="1" t="s">
        <v>337</v>
      </c>
      <c r="C59" s="1" t="s">
        <v>1163</v>
      </c>
      <c r="D59" s="1" t="str">
        <f t="shared" si="8"/>
        <v>COMPAÑIA DE TRANSPORTE PESADO SERTRADAVI SA</v>
      </c>
      <c r="F59" s="1" t="s">
        <v>41</v>
      </c>
      <c r="G59" s="1" t="s">
        <v>42</v>
      </c>
      <c r="H59" s="1" t="s">
        <v>42</v>
      </c>
      <c r="I59" s="1" t="s">
        <v>43</v>
      </c>
      <c r="J59" s="1" t="s">
        <v>44</v>
      </c>
      <c r="K59" s="1" t="s">
        <v>45</v>
      </c>
      <c r="L59" s="1" t="s">
        <v>338</v>
      </c>
      <c r="M59" s="1" t="s">
        <v>62</v>
      </c>
      <c r="N59" s="1">
        <v>3</v>
      </c>
      <c r="O59" s="1" t="s">
        <v>339</v>
      </c>
      <c r="P59" s="1" t="s">
        <v>45</v>
      </c>
      <c r="Q59" s="1" t="s">
        <v>340</v>
      </c>
      <c r="R59" s="1" t="s">
        <v>49</v>
      </c>
      <c r="S59" s="1" t="s">
        <v>50</v>
      </c>
      <c r="T59" s="1" t="s">
        <v>50</v>
      </c>
      <c r="U59" s="1" t="s">
        <v>45</v>
      </c>
      <c r="V59" s="1" t="s">
        <v>45</v>
      </c>
      <c r="W59" s="1" t="s">
        <v>45</v>
      </c>
      <c r="X59" s="1" t="s">
        <v>45</v>
      </c>
      <c r="Y59" s="1" t="s">
        <v>45</v>
      </c>
      <c r="Z59" s="1">
        <v>0</v>
      </c>
      <c r="AA59" s="1" t="s">
        <v>45</v>
      </c>
      <c r="AB59" s="1" t="s">
        <v>45</v>
      </c>
      <c r="AC59" s="1" t="s">
        <v>45</v>
      </c>
      <c r="AD59" s="1" t="s">
        <v>45</v>
      </c>
      <c r="AE59" s="1" t="s">
        <v>45</v>
      </c>
      <c r="AF59" s="1" t="s">
        <v>51</v>
      </c>
      <c r="AG59" s="1" t="s">
        <v>45</v>
      </c>
      <c r="AH59" s="1" t="s">
        <v>45</v>
      </c>
      <c r="AI59" s="1" t="s">
        <v>45</v>
      </c>
      <c r="AJ59" s="1" t="s">
        <v>45</v>
      </c>
      <c r="AK59" s="1" t="s">
        <v>45</v>
      </c>
      <c r="AL59" s="1" t="s">
        <v>49</v>
      </c>
      <c r="AM59" s="1" t="s">
        <v>49</v>
      </c>
      <c r="AN59" s="1">
        <v>0</v>
      </c>
      <c r="AO59" s="1">
        <v>0</v>
      </c>
      <c r="AP59" s="1">
        <v>0</v>
      </c>
    </row>
    <row r="60" spans="1:42" x14ac:dyDescent="0.25">
      <c r="A60" s="1" t="s">
        <v>341</v>
      </c>
      <c r="B60" s="1" t="s">
        <v>342</v>
      </c>
      <c r="C60" s="1" t="s">
        <v>1164</v>
      </c>
      <c r="D60" s="1" t="str">
        <f t="shared" si="8"/>
        <v>COMPAÑIA DE TRANSPORTE PESADO TOMOTRANS S.A.</v>
      </c>
      <c r="F60" s="1" t="s">
        <v>41</v>
      </c>
      <c r="G60" s="1" t="s">
        <v>42</v>
      </c>
      <c r="H60" s="1" t="s">
        <v>42</v>
      </c>
      <c r="I60" s="1" t="s">
        <v>43</v>
      </c>
      <c r="J60" s="1" t="s">
        <v>44</v>
      </c>
      <c r="K60" s="1" t="s">
        <v>45</v>
      </c>
      <c r="L60" s="1" t="s">
        <v>343</v>
      </c>
      <c r="M60" s="1" t="s">
        <v>57</v>
      </c>
      <c r="N60" s="1">
        <v>161</v>
      </c>
      <c r="O60" s="1" t="s">
        <v>45</v>
      </c>
      <c r="P60" s="1" t="s">
        <v>45</v>
      </c>
      <c r="Q60" s="1" t="s">
        <v>45</v>
      </c>
      <c r="R60" s="1" t="s">
        <v>49</v>
      </c>
      <c r="S60" s="1" t="s">
        <v>50</v>
      </c>
      <c r="T60" s="1" t="s">
        <v>50</v>
      </c>
      <c r="U60" s="1" t="s">
        <v>45</v>
      </c>
      <c r="V60" s="1" t="s">
        <v>45</v>
      </c>
      <c r="W60" s="1" t="s">
        <v>45</v>
      </c>
      <c r="X60" s="1" t="s">
        <v>45</v>
      </c>
      <c r="Y60" s="1" t="s">
        <v>45</v>
      </c>
      <c r="Z60" s="1">
        <v>0</v>
      </c>
      <c r="AA60" s="1" t="s">
        <v>45</v>
      </c>
      <c r="AB60" s="1" t="s">
        <v>45</v>
      </c>
      <c r="AC60" s="1" t="s">
        <v>45</v>
      </c>
      <c r="AD60" s="1" t="s">
        <v>45</v>
      </c>
      <c r="AE60" s="1" t="s">
        <v>45</v>
      </c>
      <c r="AF60" s="1" t="s">
        <v>51</v>
      </c>
      <c r="AG60" s="1" t="s">
        <v>45</v>
      </c>
      <c r="AH60" s="1" t="s">
        <v>45</v>
      </c>
      <c r="AI60" s="1" t="s">
        <v>45</v>
      </c>
      <c r="AJ60" s="1" t="s">
        <v>45</v>
      </c>
      <c r="AK60" s="1" t="s">
        <v>45</v>
      </c>
      <c r="AL60" s="1" t="s">
        <v>49</v>
      </c>
      <c r="AM60" s="1" t="s">
        <v>49</v>
      </c>
      <c r="AN60" s="1">
        <v>0</v>
      </c>
      <c r="AO60" s="1">
        <v>0</v>
      </c>
      <c r="AP60" s="1">
        <v>0</v>
      </c>
    </row>
    <row r="61" spans="1:42" x14ac:dyDescent="0.25">
      <c r="A61" s="1" t="s">
        <v>344</v>
      </c>
      <c r="B61" s="1" t="s">
        <v>345</v>
      </c>
      <c r="C61" s="1" t="s">
        <v>1165</v>
      </c>
      <c r="D61" s="1" t="str">
        <f t="shared" si="8"/>
        <v>COMPAÑIA DE TRANSPORTE PESADO TRANSALBORADA SA</v>
      </c>
      <c r="F61" s="1" t="s">
        <v>41</v>
      </c>
      <c r="G61" s="1" t="s">
        <v>42</v>
      </c>
      <c r="H61" s="1" t="s">
        <v>42</v>
      </c>
      <c r="I61" s="1" t="s">
        <v>43</v>
      </c>
      <c r="J61" s="1" t="s">
        <v>44</v>
      </c>
      <c r="K61" s="1" t="s">
        <v>346</v>
      </c>
      <c r="L61" s="1" t="s">
        <v>347</v>
      </c>
      <c r="M61" s="1" t="s">
        <v>47</v>
      </c>
      <c r="N61" s="1">
        <v>134</v>
      </c>
      <c r="O61" s="1" t="s">
        <v>45</v>
      </c>
      <c r="P61" s="1" t="s">
        <v>45</v>
      </c>
      <c r="Q61" s="1" t="s">
        <v>348</v>
      </c>
      <c r="R61" s="1" t="s">
        <v>49</v>
      </c>
      <c r="S61" s="1" t="s">
        <v>50</v>
      </c>
      <c r="T61" s="1" t="s">
        <v>50</v>
      </c>
      <c r="U61" s="1" t="s">
        <v>45</v>
      </c>
      <c r="V61" s="1" t="s">
        <v>45</v>
      </c>
      <c r="W61" s="1" t="s">
        <v>45</v>
      </c>
      <c r="X61" s="1" t="s">
        <v>45</v>
      </c>
      <c r="Y61" s="1" t="s">
        <v>45</v>
      </c>
      <c r="Z61" s="1">
        <v>0</v>
      </c>
      <c r="AA61" s="1" t="s">
        <v>45</v>
      </c>
      <c r="AB61" s="1" t="s">
        <v>45</v>
      </c>
      <c r="AC61" s="1" t="s">
        <v>45</v>
      </c>
      <c r="AD61" s="1" t="s">
        <v>45</v>
      </c>
      <c r="AE61" s="1" t="s">
        <v>45</v>
      </c>
      <c r="AF61" s="1" t="s">
        <v>51</v>
      </c>
      <c r="AG61" s="1" t="s">
        <v>45</v>
      </c>
      <c r="AH61" s="1" t="s">
        <v>45</v>
      </c>
      <c r="AI61" s="1" t="s">
        <v>45</v>
      </c>
      <c r="AJ61" s="1" t="s">
        <v>45</v>
      </c>
      <c r="AK61" s="1" t="s">
        <v>45</v>
      </c>
      <c r="AL61" s="1" t="s">
        <v>49</v>
      </c>
      <c r="AM61" s="1" t="s">
        <v>49</v>
      </c>
      <c r="AN61" s="1">
        <v>0</v>
      </c>
      <c r="AO61" s="1">
        <v>0</v>
      </c>
      <c r="AP61" s="1">
        <v>0</v>
      </c>
    </row>
    <row r="62" spans="1:42" x14ac:dyDescent="0.25">
      <c r="A62" s="1" t="s">
        <v>349</v>
      </c>
      <c r="B62" s="1" t="s">
        <v>350</v>
      </c>
      <c r="C62" s="1" t="s">
        <v>1166</v>
      </c>
      <c r="D62" s="1" t="str">
        <f t="shared" si="8"/>
        <v>COMPAÑIA DE TRANSPORTE PESADO TRANSCOBRE SA</v>
      </c>
      <c r="F62" s="1" t="s">
        <v>41</v>
      </c>
      <c r="G62" s="1" t="s">
        <v>42</v>
      </c>
      <c r="H62" s="1" t="s">
        <v>42</v>
      </c>
      <c r="I62" s="1" t="s">
        <v>43</v>
      </c>
      <c r="J62" s="1" t="s">
        <v>44</v>
      </c>
      <c r="K62" s="1" t="s">
        <v>45</v>
      </c>
      <c r="L62" s="1" t="s">
        <v>351</v>
      </c>
      <c r="M62" s="1" t="s">
        <v>47</v>
      </c>
      <c r="N62" s="1">
        <v>134</v>
      </c>
      <c r="O62" s="1" t="s">
        <v>45</v>
      </c>
      <c r="P62" s="1" t="s">
        <v>45</v>
      </c>
      <c r="Q62" s="1" t="s">
        <v>352</v>
      </c>
      <c r="R62" s="1" t="s">
        <v>49</v>
      </c>
      <c r="S62" s="1" t="s">
        <v>50</v>
      </c>
      <c r="T62" s="1" t="s">
        <v>50</v>
      </c>
      <c r="U62" s="1" t="s">
        <v>45</v>
      </c>
      <c r="V62" s="1" t="s">
        <v>45</v>
      </c>
      <c r="W62" s="1" t="s">
        <v>45</v>
      </c>
      <c r="X62" s="1" t="s">
        <v>45</v>
      </c>
      <c r="Y62" s="1" t="s">
        <v>45</v>
      </c>
      <c r="Z62" s="1">
        <v>0</v>
      </c>
      <c r="AA62" s="1" t="s">
        <v>45</v>
      </c>
      <c r="AB62" s="1" t="s">
        <v>45</v>
      </c>
      <c r="AC62" s="1" t="s">
        <v>45</v>
      </c>
      <c r="AD62" s="1" t="s">
        <v>45</v>
      </c>
      <c r="AE62" s="1" t="s">
        <v>45</v>
      </c>
      <c r="AF62" s="1" t="s">
        <v>51</v>
      </c>
      <c r="AG62" s="1" t="s">
        <v>45</v>
      </c>
      <c r="AH62" s="1" t="s">
        <v>45</v>
      </c>
      <c r="AI62" s="1" t="s">
        <v>45</v>
      </c>
      <c r="AJ62" s="1" t="s">
        <v>45</v>
      </c>
      <c r="AK62" s="1" t="s">
        <v>45</v>
      </c>
      <c r="AL62" s="1" t="s">
        <v>49</v>
      </c>
      <c r="AM62" s="1" t="s">
        <v>49</v>
      </c>
      <c r="AN62" s="1">
        <v>0</v>
      </c>
      <c r="AO62" s="1">
        <v>0</v>
      </c>
      <c r="AP62" s="1">
        <v>0</v>
      </c>
    </row>
    <row r="63" spans="1:42" x14ac:dyDescent="0.25">
      <c r="A63" s="1" t="s">
        <v>353</v>
      </c>
      <c r="B63" s="1" t="s">
        <v>354</v>
      </c>
      <c r="C63" s="1" t="s">
        <v>1167</v>
      </c>
      <c r="D63" s="1" t="str">
        <f t="shared" si="8"/>
        <v>COMPAÑIA DE TRANSPORTE PESADOS HERNANDEZ ZAPATA S.A.</v>
      </c>
      <c r="F63" s="1" t="s">
        <v>41</v>
      </c>
      <c r="G63" s="1" t="s">
        <v>42</v>
      </c>
      <c r="H63" s="1" t="s">
        <v>42</v>
      </c>
      <c r="I63" s="1" t="s">
        <v>43</v>
      </c>
      <c r="J63" s="1" t="s">
        <v>44</v>
      </c>
      <c r="K63" s="1" t="s">
        <v>45</v>
      </c>
      <c r="L63" s="1" t="s">
        <v>355</v>
      </c>
      <c r="M63" s="1" t="s">
        <v>57</v>
      </c>
      <c r="N63" s="1">
        <v>161</v>
      </c>
      <c r="O63" s="1" t="s">
        <v>45</v>
      </c>
      <c r="P63" s="1" t="s">
        <v>45</v>
      </c>
      <c r="Q63" s="1" t="s">
        <v>356</v>
      </c>
      <c r="R63" s="1" t="s">
        <v>49</v>
      </c>
      <c r="S63" s="1" t="s">
        <v>50</v>
      </c>
      <c r="T63" s="1" t="s">
        <v>50</v>
      </c>
      <c r="U63" s="1" t="s">
        <v>45</v>
      </c>
      <c r="V63" s="1" t="s">
        <v>45</v>
      </c>
      <c r="W63" s="1" t="s">
        <v>45</v>
      </c>
      <c r="X63" s="1" t="s">
        <v>45</v>
      </c>
      <c r="Y63" s="1" t="s">
        <v>45</v>
      </c>
      <c r="Z63" s="1">
        <v>0</v>
      </c>
      <c r="AA63" s="1" t="s">
        <v>45</v>
      </c>
      <c r="AB63" s="1" t="s">
        <v>45</v>
      </c>
      <c r="AC63" s="1" t="s">
        <v>45</v>
      </c>
      <c r="AD63" s="1" t="s">
        <v>45</v>
      </c>
      <c r="AE63" s="1" t="s">
        <v>45</v>
      </c>
      <c r="AF63" s="1" t="s">
        <v>51</v>
      </c>
      <c r="AG63" s="1" t="s">
        <v>45</v>
      </c>
      <c r="AH63" s="1" t="s">
        <v>45</v>
      </c>
      <c r="AI63" s="1" t="s">
        <v>45</v>
      </c>
      <c r="AJ63" s="1" t="s">
        <v>45</v>
      </c>
      <c r="AK63" s="1" t="s">
        <v>45</v>
      </c>
      <c r="AL63" s="1" t="s">
        <v>49</v>
      </c>
      <c r="AM63" s="1" t="s">
        <v>49</v>
      </c>
      <c r="AN63" s="1">
        <v>0</v>
      </c>
      <c r="AO63" s="1">
        <v>0</v>
      </c>
      <c r="AP63" s="1">
        <v>0</v>
      </c>
    </row>
    <row r="64" spans="1:42" x14ac:dyDescent="0.25">
      <c r="A64" s="1" t="s">
        <v>357</v>
      </c>
      <c r="B64" s="1" t="s">
        <v>358</v>
      </c>
      <c r="C64" s="1" t="s">
        <v>1168</v>
      </c>
      <c r="D64" s="1" t="str">
        <f t="shared" si="8"/>
        <v>COMPAÑIA ECUATORIANA DE RECICLAJE CERSA S.A</v>
      </c>
      <c r="F64" s="1" t="s">
        <v>41</v>
      </c>
      <c r="G64" s="1" t="s">
        <v>42</v>
      </c>
      <c r="H64" s="1" t="s">
        <v>42</v>
      </c>
      <c r="I64" s="1" t="s">
        <v>43</v>
      </c>
      <c r="J64" s="1" t="s">
        <v>44</v>
      </c>
      <c r="K64" s="1" t="s">
        <v>45</v>
      </c>
      <c r="L64" s="1" t="s">
        <v>359</v>
      </c>
      <c r="M64" s="1" t="s">
        <v>57</v>
      </c>
      <c r="N64" s="1">
        <v>161</v>
      </c>
      <c r="O64" s="1" t="s">
        <v>45</v>
      </c>
      <c r="P64" s="1" t="s">
        <v>45</v>
      </c>
      <c r="Q64" s="1" t="s">
        <v>360</v>
      </c>
      <c r="R64" s="1" t="s">
        <v>49</v>
      </c>
      <c r="S64" s="1" t="s">
        <v>50</v>
      </c>
      <c r="T64" s="1" t="s">
        <v>50</v>
      </c>
      <c r="U64" s="1" t="s">
        <v>45</v>
      </c>
      <c r="V64" s="1" t="s">
        <v>45</v>
      </c>
      <c r="W64" s="1" t="s">
        <v>45</v>
      </c>
      <c r="X64" s="1" t="s">
        <v>45</v>
      </c>
      <c r="Y64" s="1" t="s">
        <v>45</v>
      </c>
      <c r="Z64" s="1">
        <v>0</v>
      </c>
      <c r="AA64" s="1" t="s">
        <v>45</v>
      </c>
      <c r="AB64" s="1" t="s">
        <v>45</v>
      </c>
      <c r="AC64" s="1" t="s">
        <v>45</v>
      </c>
      <c r="AD64" s="1" t="s">
        <v>45</v>
      </c>
      <c r="AE64" s="1" t="s">
        <v>45</v>
      </c>
      <c r="AF64" s="1" t="s">
        <v>51</v>
      </c>
      <c r="AG64" s="1" t="s">
        <v>45</v>
      </c>
      <c r="AH64" s="1" t="s">
        <v>45</v>
      </c>
      <c r="AI64" s="1" t="s">
        <v>45</v>
      </c>
      <c r="AJ64" s="1" t="s">
        <v>45</v>
      </c>
      <c r="AK64" s="1" t="s">
        <v>45</v>
      </c>
      <c r="AL64" s="1" t="s">
        <v>49</v>
      </c>
      <c r="AM64" s="1" t="s">
        <v>49</v>
      </c>
      <c r="AN64" s="1">
        <v>0</v>
      </c>
      <c r="AO64" s="1">
        <v>0</v>
      </c>
      <c r="AP64" s="1">
        <v>0</v>
      </c>
    </row>
    <row r="65" spans="1:42" x14ac:dyDescent="0.25">
      <c r="A65" s="1" t="s">
        <v>361</v>
      </c>
      <c r="B65" s="1" t="s">
        <v>362</v>
      </c>
      <c r="C65" s="1" t="s">
        <v>1169</v>
      </c>
      <c r="D65" s="1" t="str">
        <f t="shared" si="8"/>
        <v>COMPAÑIA TRANSPORTES TECN&amp;AGRO AGRO&amp;TECNISA S A</v>
      </c>
      <c r="F65" s="1" t="s">
        <v>41</v>
      </c>
      <c r="G65" s="1" t="s">
        <v>42</v>
      </c>
      <c r="H65" s="1" t="s">
        <v>42</v>
      </c>
      <c r="I65" s="1" t="s">
        <v>43</v>
      </c>
      <c r="J65" s="1" t="s">
        <v>44</v>
      </c>
      <c r="K65" s="1" t="s">
        <v>45</v>
      </c>
      <c r="L65" s="1" t="s">
        <v>363</v>
      </c>
      <c r="M65" s="1" t="s">
        <v>62</v>
      </c>
      <c r="N65" s="1">
        <v>3</v>
      </c>
      <c r="O65" s="1" t="s">
        <v>45</v>
      </c>
      <c r="P65" s="1" t="s">
        <v>45</v>
      </c>
      <c r="Q65" s="1" t="s">
        <v>45</v>
      </c>
      <c r="R65" s="1" t="s">
        <v>49</v>
      </c>
      <c r="S65" s="1" t="s">
        <v>50</v>
      </c>
      <c r="T65" s="1" t="s">
        <v>50</v>
      </c>
      <c r="U65" s="1" t="s">
        <v>45</v>
      </c>
      <c r="V65" s="1" t="s">
        <v>45</v>
      </c>
      <c r="W65" s="1" t="s">
        <v>45</v>
      </c>
      <c r="X65" s="1" t="s">
        <v>45</v>
      </c>
      <c r="Y65" s="1" t="s">
        <v>45</v>
      </c>
      <c r="Z65" s="1">
        <v>0</v>
      </c>
      <c r="AA65" s="1" t="s">
        <v>45</v>
      </c>
      <c r="AB65" s="1" t="s">
        <v>45</v>
      </c>
      <c r="AC65" s="1" t="s">
        <v>45</v>
      </c>
      <c r="AD65" s="1" t="s">
        <v>45</v>
      </c>
      <c r="AE65" s="1" t="s">
        <v>45</v>
      </c>
      <c r="AF65" s="1" t="s">
        <v>51</v>
      </c>
      <c r="AG65" s="1" t="s">
        <v>45</v>
      </c>
      <c r="AH65" s="1" t="s">
        <v>45</v>
      </c>
      <c r="AI65" s="1" t="s">
        <v>45</v>
      </c>
      <c r="AJ65" s="1" t="s">
        <v>45</v>
      </c>
      <c r="AK65" s="1" t="s">
        <v>45</v>
      </c>
      <c r="AL65" s="1" t="s">
        <v>49</v>
      </c>
      <c r="AM65" s="1" t="s">
        <v>49</v>
      </c>
      <c r="AN65" s="1">
        <v>0</v>
      </c>
      <c r="AO65" s="1">
        <v>0</v>
      </c>
      <c r="AP65" s="1">
        <v>0</v>
      </c>
    </row>
    <row r="66" spans="1:42" x14ac:dyDescent="0.25">
      <c r="A66" s="1" t="s">
        <v>364</v>
      </c>
      <c r="B66" s="1" t="s">
        <v>365</v>
      </c>
      <c r="C66" s="1" t="s">
        <v>366</v>
      </c>
      <c r="D66" s="1" t="str">
        <f t="shared" si="8"/>
        <v>CONRIJU RIPIOS DEL JUBONES CIA.LTDA</v>
      </c>
      <c r="F66" s="1" t="s">
        <v>41</v>
      </c>
      <c r="G66" s="1" t="s">
        <v>42</v>
      </c>
      <c r="H66" s="1" t="s">
        <v>42</v>
      </c>
      <c r="I66" s="1" t="s">
        <v>43</v>
      </c>
      <c r="J66" s="1" t="s">
        <v>44</v>
      </c>
      <c r="K66" s="1" t="s">
        <v>45</v>
      </c>
      <c r="L66" s="1" t="s">
        <v>367</v>
      </c>
      <c r="M66" s="1" t="s">
        <v>62</v>
      </c>
      <c r="N66" s="1">
        <v>3</v>
      </c>
      <c r="O66" s="1" t="s">
        <v>45</v>
      </c>
      <c r="P66" s="1" t="s">
        <v>45</v>
      </c>
      <c r="Q66" s="1" t="s">
        <v>45</v>
      </c>
      <c r="R66" s="1" t="s">
        <v>49</v>
      </c>
      <c r="S66" s="1" t="s">
        <v>50</v>
      </c>
      <c r="T66" s="1" t="s">
        <v>50</v>
      </c>
      <c r="U66" s="1" t="s">
        <v>45</v>
      </c>
      <c r="V66" s="1" t="s">
        <v>45</v>
      </c>
      <c r="W66" s="1" t="s">
        <v>45</v>
      </c>
      <c r="X66" s="1" t="s">
        <v>45</v>
      </c>
      <c r="Y66" s="1" t="s">
        <v>45</v>
      </c>
      <c r="Z66" s="1">
        <v>0</v>
      </c>
      <c r="AA66" s="1" t="s">
        <v>45</v>
      </c>
      <c r="AB66" s="1" t="s">
        <v>45</v>
      </c>
      <c r="AC66" s="1" t="s">
        <v>45</v>
      </c>
      <c r="AD66" s="1" t="s">
        <v>45</v>
      </c>
      <c r="AE66" s="1" t="s">
        <v>45</v>
      </c>
      <c r="AF66" s="1" t="s">
        <v>51</v>
      </c>
      <c r="AG66" s="1" t="s">
        <v>45</v>
      </c>
      <c r="AH66" s="1" t="s">
        <v>45</v>
      </c>
      <c r="AI66" s="1" t="s">
        <v>45</v>
      </c>
      <c r="AJ66" s="1" t="s">
        <v>45</v>
      </c>
      <c r="AK66" s="1" t="s">
        <v>45</v>
      </c>
      <c r="AL66" s="1" t="s">
        <v>49</v>
      </c>
      <c r="AM66" s="1" t="s">
        <v>49</v>
      </c>
      <c r="AN66" s="1">
        <v>0</v>
      </c>
      <c r="AO66" s="1">
        <v>0</v>
      </c>
      <c r="AP66" s="1">
        <v>0</v>
      </c>
    </row>
    <row r="67" spans="1:42" x14ac:dyDescent="0.25">
      <c r="A67" s="1" t="s">
        <v>368</v>
      </c>
      <c r="B67" s="1" t="s">
        <v>369</v>
      </c>
      <c r="C67" s="1" t="s">
        <v>370</v>
      </c>
      <c r="D67" s="1" t="str">
        <f t="shared" si="8"/>
        <v>CONSORCIO ECUATORIANA DE TELECOMUNICANOS S.A. CONECEL</v>
      </c>
      <c r="F67" s="1" t="s">
        <v>41</v>
      </c>
      <c r="G67" s="1" t="s">
        <v>42</v>
      </c>
      <c r="H67" s="1" t="s">
        <v>42</v>
      </c>
      <c r="I67" s="1" t="s">
        <v>43</v>
      </c>
      <c r="J67" s="1" t="s">
        <v>44</v>
      </c>
      <c r="K67" s="1" t="s">
        <v>45</v>
      </c>
      <c r="L67" s="1" t="s">
        <v>371</v>
      </c>
      <c r="M67" s="1" t="s">
        <v>62</v>
      </c>
      <c r="N67" s="1">
        <v>3</v>
      </c>
      <c r="O67" s="1" t="s">
        <v>45</v>
      </c>
      <c r="P67" s="1" t="s">
        <v>45</v>
      </c>
      <c r="Q67" s="1" t="s">
        <v>45</v>
      </c>
      <c r="R67" s="1" t="s">
        <v>49</v>
      </c>
      <c r="S67" s="1" t="s">
        <v>50</v>
      </c>
      <c r="T67" s="1" t="s">
        <v>50</v>
      </c>
      <c r="U67" s="1" t="s">
        <v>45</v>
      </c>
      <c r="V67" s="1" t="s">
        <v>45</v>
      </c>
      <c r="W67" s="1" t="s">
        <v>45</v>
      </c>
      <c r="X67" s="1" t="s">
        <v>45</v>
      </c>
      <c r="Y67" s="1" t="s">
        <v>45</v>
      </c>
      <c r="Z67" s="1">
        <v>0</v>
      </c>
      <c r="AA67" s="1" t="s">
        <v>45</v>
      </c>
      <c r="AB67" s="1" t="s">
        <v>45</v>
      </c>
      <c r="AC67" s="1" t="s">
        <v>45</v>
      </c>
      <c r="AD67" s="1" t="s">
        <v>45</v>
      </c>
      <c r="AE67" s="1" t="s">
        <v>45</v>
      </c>
      <c r="AF67" s="1" t="s">
        <v>51</v>
      </c>
      <c r="AG67" s="1" t="s">
        <v>45</v>
      </c>
      <c r="AH67" s="1" t="s">
        <v>45</v>
      </c>
      <c r="AI67" s="1" t="s">
        <v>45</v>
      </c>
      <c r="AJ67" s="1" t="s">
        <v>45</v>
      </c>
      <c r="AK67" s="1" t="s">
        <v>45</v>
      </c>
      <c r="AL67" s="1" t="s">
        <v>49</v>
      </c>
      <c r="AM67" s="1" t="s">
        <v>49</v>
      </c>
      <c r="AN67" s="1">
        <v>0</v>
      </c>
      <c r="AO67" s="1">
        <v>0</v>
      </c>
      <c r="AP67" s="1">
        <v>0</v>
      </c>
    </row>
    <row r="68" spans="1:42" x14ac:dyDescent="0.25">
      <c r="A68" s="1" t="s">
        <v>372</v>
      </c>
      <c r="B68" s="1" t="s">
        <v>373</v>
      </c>
      <c r="C68" s="1" t="s">
        <v>374</v>
      </c>
      <c r="D68" s="1" t="str">
        <f t="shared" si="8"/>
        <v>CONSUMIDOR FINAL</v>
      </c>
      <c r="F68" s="1" t="s">
        <v>41</v>
      </c>
      <c r="G68" s="1" t="s">
        <v>42</v>
      </c>
      <c r="H68" s="1" t="s">
        <v>42</v>
      </c>
      <c r="I68" s="1" t="s">
        <v>43</v>
      </c>
      <c r="J68" s="1" t="s">
        <v>44</v>
      </c>
      <c r="K68" s="1" t="s">
        <v>45</v>
      </c>
      <c r="L68" s="1" t="s">
        <v>375</v>
      </c>
      <c r="M68" s="1" t="s">
        <v>92</v>
      </c>
      <c r="N68" s="1">
        <v>78</v>
      </c>
      <c r="O68" s="1" t="s">
        <v>376</v>
      </c>
      <c r="P68" s="1" t="s">
        <v>45</v>
      </c>
      <c r="Q68" s="1" t="s">
        <v>377</v>
      </c>
      <c r="R68" s="1" t="s">
        <v>49</v>
      </c>
      <c r="S68" s="1" t="s">
        <v>50</v>
      </c>
      <c r="T68" s="1" t="s">
        <v>50</v>
      </c>
      <c r="U68" s="1" t="s">
        <v>45</v>
      </c>
      <c r="V68" s="1" t="s">
        <v>45</v>
      </c>
      <c r="W68" s="1" t="s">
        <v>45</v>
      </c>
      <c r="X68" s="1" t="s">
        <v>45</v>
      </c>
      <c r="Y68" s="1" t="s">
        <v>45</v>
      </c>
      <c r="Z68" s="1">
        <v>0</v>
      </c>
      <c r="AA68" s="1" t="s">
        <v>45</v>
      </c>
      <c r="AB68" s="1" t="s">
        <v>45</v>
      </c>
      <c r="AC68" s="1" t="s">
        <v>45</v>
      </c>
      <c r="AD68" s="1" t="s">
        <v>45</v>
      </c>
      <c r="AE68" s="1" t="s">
        <v>45</v>
      </c>
      <c r="AF68" s="1" t="s">
        <v>51</v>
      </c>
      <c r="AG68" s="1" t="s">
        <v>45</v>
      </c>
      <c r="AH68" s="1" t="s">
        <v>45</v>
      </c>
      <c r="AI68" s="1" t="s">
        <v>45</v>
      </c>
      <c r="AJ68" s="1" t="s">
        <v>45</v>
      </c>
      <c r="AK68" s="1" t="s">
        <v>45</v>
      </c>
      <c r="AL68" s="1" t="s">
        <v>49</v>
      </c>
      <c r="AM68" s="1" t="s">
        <v>49</v>
      </c>
      <c r="AN68" s="1">
        <v>0</v>
      </c>
      <c r="AO68" s="1">
        <v>0</v>
      </c>
      <c r="AP68" s="1">
        <v>0</v>
      </c>
    </row>
    <row r="69" spans="1:42" x14ac:dyDescent="0.25">
      <c r="A69" s="1" t="s">
        <v>378</v>
      </c>
      <c r="B69" s="1" t="s">
        <v>379</v>
      </c>
      <c r="C69" s="1" t="s">
        <v>380</v>
      </c>
      <c r="D69" s="1" t="str">
        <f t="shared" si="8"/>
        <v>CONTECON GUAYAQUIL SA</v>
      </c>
      <c r="F69" s="1" t="s">
        <v>41</v>
      </c>
      <c r="G69" s="1" t="s">
        <v>42</v>
      </c>
      <c r="H69" s="1" t="s">
        <v>42</v>
      </c>
      <c r="I69" s="1" t="s">
        <v>43</v>
      </c>
      <c r="J69" s="1" t="s">
        <v>44</v>
      </c>
      <c r="K69" s="1" t="s">
        <v>45</v>
      </c>
      <c r="L69" s="1" t="s">
        <v>381</v>
      </c>
      <c r="M69" s="1" t="s">
        <v>92</v>
      </c>
      <c r="N69" s="1">
        <v>78</v>
      </c>
      <c r="O69" s="1" t="s">
        <v>45</v>
      </c>
      <c r="P69" s="1" t="s">
        <v>45</v>
      </c>
      <c r="Q69" s="1" t="s">
        <v>45</v>
      </c>
      <c r="R69" s="1" t="s">
        <v>49</v>
      </c>
      <c r="S69" s="1" t="s">
        <v>50</v>
      </c>
      <c r="T69" s="1" t="s">
        <v>50</v>
      </c>
      <c r="U69" s="1" t="s">
        <v>45</v>
      </c>
      <c r="V69" s="1" t="s">
        <v>45</v>
      </c>
      <c r="W69" s="1" t="s">
        <v>45</v>
      </c>
      <c r="X69" s="1" t="s">
        <v>45</v>
      </c>
      <c r="Y69" s="1" t="s">
        <v>45</v>
      </c>
      <c r="Z69" s="1">
        <v>0</v>
      </c>
      <c r="AA69" s="1" t="s">
        <v>45</v>
      </c>
      <c r="AB69" s="1" t="s">
        <v>45</v>
      </c>
      <c r="AC69" s="1" t="s">
        <v>45</v>
      </c>
      <c r="AD69" s="1" t="s">
        <v>45</v>
      </c>
      <c r="AE69" s="1" t="s">
        <v>45</v>
      </c>
      <c r="AF69" s="1" t="s">
        <v>51</v>
      </c>
      <c r="AG69" s="1" t="s">
        <v>45</v>
      </c>
      <c r="AH69" s="1" t="s">
        <v>45</v>
      </c>
      <c r="AI69" s="1" t="s">
        <v>45</v>
      </c>
      <c r="AJ69" s="1" t="s">
        <v>45</v>
      </c>
      <c r="AK69" s="1" t="s">
        <v>45</v>
      </c>
      <c r="AL69" s="1" t="s">
        <v>49</v>
      </c>
      <c r="AM69" s="1" t="s">
        <v>49</v>
      </c>
      <c r="AN69" s="1">
        <v>0</v>
      </c>
      <c r="AO69" s="1">
        <v>0</v>
      </c>
      <c r="AP69" s="1">
        <v>0</v>
      </c>
    </row>
    <row r="70" spans="1:42" x14ac:dyDescent="0.25">
      <c r="A70" s="1" t="s">
        <v>382</v>
      </c>
      <c r="B70" s="1" t="s">
        <v>383</v>
      </c>
      <c r="C70" s="1" t="s">
        <v>384</v>
      </c>
      <c r="D70" s="1" t="str">
        <f t="shared" si="8"/>
        <v>COOPERATIVA DE AHORRO Y CREDITO FERNADO DAQUILEMA</v>
      </c>
      <c r="F70" s="1" t="s">
        <v>41</v>
      </c>
      <c r="G70" s="1" t="s">
        <v>42</v>
      </c>
      <c r="H70" s="1" t="s">
        <v>42</v>
      </c>
      <c r="I70" s="1" t="s">
        <v>43</v>
      </c>
      <c r="J70" s="1" t="s">
        <v>44</v>
      </c>
      <c r="K70" s="1" t="s">
        <v>45</v>
      </c>
      <c r="L70" s="1" t="s">
        <v>385</v>
      </c>
      <c r="M70" s="1" t="s">
        <v>62</v>
      </c>
      <c r="N70" s="1">
        <v>3</v>
      </c>
      <c r="O70" s="1" t="s">
        <v>45</v>
      </c>
      <c r="P70" s="1" t="s">
        <v>45</v>
      </c>
      <c r="Q70" s="1" t="s">
        <v>386</v>
      </c>
      <c r="R70" s="1" t="s">
        <v>49</v>
      </c>
      <c r="S70" s="1" t="s">
        <v>50</v>
      </c>
      <c r="T70" s="1" t="s">
        <v>50</v>
      </c>
      <c r="U70" s="1" t="s">
        <v>45</v>
      </c>
      <c r="V70" s="1" t="s">
        <v>45</v>
      </c>
      <c r="W70" s="1" t="s">
        <v>45</v>
      </c>
      <c r="X70" s="1" t="s">
        <v>45</v>
      </c>
      <c r="Y70" s="1" t="s">
        <v>45</v>
      </c>
      <c r="Z70" s="1">
        <v>0</v>
      </c>
      <c r="AA70" s="1" t="s">
        <v>45</v>
      </c>
      <c r="AB70" s="1" t="s">
        <v>45</v>
      </c>
      <c r="AC70" s="1" t="s">
        <v>45</v>
      </c>
      <c r="AD70" s="1" t="s">
        <v>45</v>
      </c>
      <c r="AE70" s="1" t="s">
        <v>45</v>
      </c>
      <c r="AF70" s="1" t="s">
        <v>51</v>
      </c>
      <c r="AG70" s="1" t="s">
        <v>45</v>
      </c>
      <c r="AH70" s="1" t="s">
        <v>45</v>
      </c>
      <c r="AI70" s="1" t="s">
        <v>45</v>
      </c>
      <c r="AJ70" s="1" t="s">
        <v>45</v>
      </c>
      <c r="AK70" s="1" t="s">
        <v>45</v>
      </c>
      <c r="AL70" s="1" t="s">
        <v>49</v>
      </c>
      <c r="AM70" s="1" t="s">
        <v>49</v>
      </c>
      <c r="AN70" s="1">
        <v>0</v>
      </c>
      <c r="AO70" s="1">
        <v>0</v>
      </c>
      <c r="AP70" s="1">
        <v>0</v>
      </c>
    </row>
    <row r="71" spans="1:42" x14ac:dyDescent="0.25">
      <c r="A71" s="1" t="s">
        <v>387</v>
      </c>
      <c r="B71" s="1" t="s">
        <v>388</v>
      </c>
      <c r="C71" s="1" t="s">
        <v>389</v>
      </c>
      <c r="D71" s="1" t="str">
        <f t="shared" si="8"/>
        <v>COOPERATIVA DE PRODUCCION AGRICOLA BANANEROS UNIDOS COBANU</v>
      </c>
      <c r="F71" s="1" t="s">
        <v>41</v>
      </c>
      <c r="G71" s="1" t="s">
        <v>42</v>
      </c>
      <c r="H71" s="1" t="s">
        <v>42</v>
      </c>
      <c r="I71" s="1" t="s">
        <v>43</v>
      </c>
      <c r="J71" s="1" t="s">
        <v>44</v>
      </c>
      <c r="K71" s="1" t="s">
        <v>45</v>
      </c>
      <c r="L71" s="1" t="s">
        <v>390</v>
      </c>
      <c r="M71" s="1" t="s">
        <v>62</v>
      </c>
      <c r="N71" s="1">
        <v>3</v>
      </c>
      <c r="O71" s="1" t="s">
        <v>45</v>
      </c>
      <c r="P71" s="1" t="s">
        <v>45</v>
      </c>
      <c r="Q71" s="1" t="s">
        <v>391</v>
      </c>
      <c r="R71" s="1" t="s">
        <v>49</v>
      </c>
      <c r="S71" s="1" t="s">
        <v>50</v>
      </c>
      <c r="T71" s="1" t="s">
        <v>50</v>
      </c>
      <c r="U71" s="1" t="s">
        <v>45</v>
      </c>
      <c r="V71" s="1" t="s">
        <v>45</v>
      </c>
      <c r="W71" s="1" t="s">
        <v>45</v>
      </c>
      <c r="X71" s="1" t="s">
        <v>45</v>
      </c>
      <c r="Y71" s="1" t="s">
        <v>45</v>
      </c>
      <c r="Z71" s="1">
        <v>0</v>
      </c>
      <c r="AA71" s="1" t="s">
        <v>45</v>
      </c>
      <c r="AB71" s="1" t="s">
        <v>45</v>
      </c>
      <c r="AC71" s="1" t="s">
        <v>45</v>
      </c>
      <c r="AD71" s="1" t="s">
        <v>45</v>
      </c>
      <c r="AE71" s="1" t="s">
        <v>45</v>
      </c>
      <c r="AF71" s="1" t="s">
        <v>51</v>
      </c>
      <c r="AG71" s="1" t="s">
        <v>45</v>
      </c>
      <c r="AH71" s="1" t="s">
        <v>45</v>
      </c>
      <c r="AI71" s="1" t="s">
        <v>45</v>
      </c>
      <c r="AJ71" s="1" t="s">
        <v>45</v>
      </c>
      <c r="AK71" s="1" t="s">
        <v>45</v>
      </c>
      <c r="AL71" s="1" t="s">
        <v>49</v>
      </c>
      <c r="AM71" s="1" t="s">
        <v>49</v>
      </c>
      <c r="AN71" s="1">
        <v>0</v>
      </c>
      <c r="AO71" s="1">
        <v>0</v>
      </c>
      <c r="AP71" s="1">
        <v>0</v>
      </c>
    </row>
    <row r="72" spans="1:42" x14ac:dyDescent="0.25">
      <c r="A72" s="1" t="s">
        <v>392</v>
      </c>
      <c r="B72" s="1" t="s">
        <v>393</v>
      </c>
      <c r="C72" s="1" t="s">
        <v>394</v>
      </c>
      <c r="D72" s="1" t="str">
        <f t="shared" si="8"/>
        <v>COOPERATIVA DE TRANSPORTE PESADO PUYANGO</v>
      </c>
      <c r="F72" s="1" t="s">
        <v>41</v>
      </c>
      <c r="G72" s="1" t="s">
        <v>42</v>
      </c>
      <c r="H72" s="1" t="s">
        <v>42</v>
      </c>
      <c r="I72" s="1" t="s">
        <v>43</v>
      </c>
      <c r="J72" s="1" t="s">
        <v>44</v>
      </c>
      <c r="K72" s="1" t="s">
        <v>45</v>
      </c>
      <c r="L72" s="1" t="s">
        <v>395</v>
      </c>
      <c r="M72" s="1" t="s">
        <v>62</v>
      </c>
      <c r="N72" s="1">
        <v>3</v>
      </c>
      <c r="O72" s="1" t="s">
        <v>45</v>
      </c>
      <c r="P72" s="1" t="s">
        <v>45</v>
      </c>
      <c r="Q72" s="1" t="s">
        <v>396</v>
      </c>
      <c r="R72" s="1" t="s">
        <v>49</v>
      </c>
      <c r="S72" s="1" t="s">
        <v>50</v>
      </c>
      <c r="T72" s="1" t="s">
        <v>50</v>
      </c>
      <c r="U72" s="1" t="s">
        <v>45</v>
      </c>
      <c r="V72" s="1" t="s">
        <v>45</v>
      </c>
      <c r="W72" s="1" t="s">
        <v>45</v>
      </c>
      <c r="X72" s="1" t="s">
        <v>45</v>
      </c>
      <c r="Y72" s="1" t="s">
        <v>45</v>
      </c>
      <c r="Z72" s="1">
        <v>0</v>
      </c>
      <c r="AA72" s="1" t="s">
        <v>45</v>
      </c>
      <c r="AB72" s="1" t="s">
        <v>45</v>
      </c>
      <c r="AC72" s="1" t="s">
        <v>45</v>
      </c>
      <c r="AD72" s="1" t="s">
        <v>45</v>
      </c>
      <c r="AE72" s="1" t="s">
        <v>45</v>
      </c>
      <c r="AF72" s="1" t="s">
        <v>51</v>
      </c>
      <c r="AG72" s="1" t="s">
        <v>45</v>
      </c>
      <c r="AH72" s="1" t="s">
        <v>45</v>
      </c>
      <c r="AI72" s="1" t="s">
        <v>45</v>
      </c>
      <c r="AJ72" s="1" t="s">
        <v>45</v>
      </c>
      <c r="AK72" s="1" t="s">
        <v>45</v>
      </c>
      <c r="AL72" s="1" t="s">
        <v>49</v>
      </c>
      <c r="AM72" s="1" t="s">
        <v>49</v>
      </c>
      <c r="AN72" s="1">
        <v>0</v>
      </c>
      <c r="AO72" s="1">
        <v>0</v>
      </c>
      <c r="AP72" s="1">
        <v>0</v>
      </c>
    </row>
    <row r="73" spans="1:42" x14ac:dyDescent="0.25">
      <c r="A73" s="1" t="s">
        <v>397</v>
      </c>
      <c r="B73" s="1" t="s">
        <v>398</v>
      </c>
      <c r="C73" s="1" t="s">
        <v>399</v>
      </c>
      <c r="D73" s="1" t="str">
        <f t="shared" si="8"/>
        <v>COOPERATIVA JEP</v>
      </c>
      <c r="F73" s="1" t="s">
        <v>41</v>
      </c>
      <c r="G73" s="1" t="s">
        <v>55</v>
      </c>
      <c r="H73" s="1" t="s">
        <v>42</v>
      </c>
      <c r="I73" s="1" t="s">
        <v>43</v>
      </c>
      <c r="J73" s="1" t="s">
        <v>44</v>
      </c>
      <c r="K73" s="1" t="s">
        <v>45</v>
      </c>
      <c r="L73" s="1" t="s">
        <v>400</v>
      </c>
      <c r="M73" s="1" t="s">
        <v>47</v>
      </c>
      <c r="N73" s="1">
        <v>134</v>
      </c>
      <c r="O73" s="1" t="s">
        <v>401</v>
      </c>
      <c r="P73" s="1" t="s">
        <v>45</v>
      </c>
      <c r="Q73" s="1" t="s">
        <v>402</v>
      </c>
      <c r="R73" s="1" t="s">
        <v>49</v>
      </c>
      <c r="S73" s="1" t="s">
        <v>50</v>
      </c>
      <c r="T73" s="1" t="s">
        <v>50</v>
      </c>
      <c r="U73" s="1" t="s">
        <v>45</v>
      </c>
      <c r="V73" s="1" t="s">
        <v>45</v>
      </c>
      <c r="W73" s="1" t="s">
        <v>45</v>
      </c>
      <c r="X73" s="1" t="s">
        <v>45</v>
      </c>
      <c r="Y73" s="1" t="s">
        <v>45</v>
      </c>
      <c r="Z73" s="1">
        <v>0</v>
      </c>
      <c r="AA73" s="1" t="s">
        <v>45</v>
      </c>
      <c r="AB73" s="1" t="s">
        <v>45</v>
      </c>
      <c r="AC73" s="1" t="s">
        <v>45</v>
      </c>
      <c r="AD73" s="1" t="s">
        <v>45</v>
      </c>
      <c r="AE73" s="1" t="s">
        <v>45</v>
      </c>
      <c r="AF73" s="1" t="s">
        <v>51</v>
      </c>
      <c r="AG73" s="1" t="s">
        <v>45</v>
      </c>
      <c r="AH73" s="1" t="s">
        <v>45</v>
      </c>
      <c r="AI73" s="1" t="s">
        <v>45</v>
      </c>
      <c r="AJ73" s="1" t="s">
        <v>45</v>
      </c>
      <c r="AK73" s="1" t="s">
        <v>45</v>
      </c>
      <c r="AL73" s="1" t="s">
        <v>49</v>
      </c>
      <c r="AM73" s="1" t="s">
        <v>49</v>
      </c>
      <c r="AN73" s="1">
        <v>0</v>
      </c>
      <c r="AO73" s="1">
        <v>0</v>
      </c>
      <c r="AP73" s="1">
        <v>0</v>
      </c>
    </row>
    <row r="74" spans="1:42" x14ac:dyDescent="0.25">
      <c r="A74" s="1" t="s">
        <v>403</v>
      </c>
      <c r="B74" s="1" t="s">
        <v>404</v>
      </c>
      <c r="C74" s="1" t="s">
        <v>405</v>
      </c>
      <c r="D74" s="1" t="str">
        <f t="shared" ref="D74:D130" si="9">LEFT(C74, FIND(" ", C74, FIND(" ", C74) + 1) - 1)</f>
        <v>CORONEL MIRANDA</v>
      </c>
      <c r="E74" s="1" t="str">
        <f t="shared" ref="E74:E75" si="10">RIGHT(C74, LEN(C74) - FIND(" ", C74, FIND(" ", C74, FIND(" ", C74) + 0) + 1))</f>
        <v>CLAUDIO CESAR</v>
      </c>
      <c r="F74" s="1" t="s">
        <v>41</v>
      </c>
      <c r="G74" s="1" t="s">
        <v>42</v>
      </c>
      <c r="H74" s="1" t="s">
        <v>42</v>
      </c>
      <c r="I74" s="1" t="s">
        <v>45</v>
      </c>
      <c r="J74" s="1" t="s">
        <v>45</v>
      </c>
      <c r="K74" s="1" t="s">
        <v>45</v>
      </c>
      <c r="L74" s="1" t="s">
        <v>406</v>
      </c>
      <c r="M74" s="1" t="s">
        <v>62</v>
      </c>
      <c r="N74" s="1">
        <v>3</v>
      </c>
      <c r="O74" s="1" t="s">
        <v>407</v>
      </c>
      <c r="P74" s="1" t="s">
        <v>45</v>
      </c>
      <c r="Q74" s="1" t="s">
        <v>408</v>
      </c>
      <c r="R74" s="1" t="s">
        <v>49</v>
      </c>
      <c r="S74" s="1" t="s">
        <v>50</v>
      </c>
      <c r="T74" s="1" t="s">
        <v>50</v>
      </c>
      <c r="U74" s="1" t="s">
        <v>45</v>
      </c>
      <c r="V74" s="1" t="s">
        <v>45</v>
      </c>
      <c r="W74" s="1" t="s">
        <v>45</v>
      </c>
      <c r="X74" s="1" t="s">
        <v>45</v>
      </c>
      <c r="Y74" s="1" t="s">
        <v>45</v>
      </c>
      <c r="Z74" s="1">
        <v>0</v>
      </c>
      <c r="AA74" s="1" t="s">
        <v>45</v>
      </c>
      <c r="AB74" s="1" t="s">
        <v>45</v>
      </c>
      <c r="AC74" s="1" t="s">
        <v>45</v>
      </c>
      <c r="AD74" s="1" t="s">
        <v>45</v>
      </c>
      <c r="AE74" s="1" t="s">
        <v>45</v>
      </c>
      <c r="AF74" s="1" t="s">
        <v>51</v>
      </c>
      <c r="AG74" s="1" t="s">
        <v>45</v>
      </c>
      <c r="AH74" s="1" t="s">
        <v>45</v>
      </c>
      <c r="AI74" s="1" t="s">
        <v>45</v>
      </c>
      <c r="AJ74" s="1" t="s">
        <v>45</v>
      </c>
      <c r="AK74" s="1" t="s">
        <v>45</v>
      </c>
      <c r="AL74" s="1" t="s">
        <v>49</v>
      </c>
      <c r="AM74" s="1" t="s">
        <v>49</v>
      </c>
      <c r="AN74" s="1">
        <v>0</v>
      </c>
      <c r="AO74" s="1">
        <v>0</v>
      </c>
      <c r="AP74" s="1">
        <v>0</v>
      </c>
    </row>
    <row r="75" spans="1:42" x14ac:dyDescent="0.25">
      <c r="A75" s="1" t="s">
        <v>409</v>
      </c>
      <c r="B75" s="1" t="s">
        <v>410</v>
      </c>
      <c r="C75" s="1" t="s">
        <v>405</v>
      </c>
      <c r="D75" s="1" t="str">
        <f t="shared" si="9"/>
        <v>CORONEL MIRANDA</v>
      </c>
      <c r="E75" s="1" t="str">
        <f t="shared" si="10"/>
        <v>CLAUDIO CESAR</v>
      </c>
      <c r="F75" s="1" t="s">
        <v>41</v>
      </c>
      <c r="G75" s="1" t="s">
        <v>42</v>
      </c>
      <c r="H75" s="1" t="s">
        <v>42</v>
      </c>
      <c r="I75" s="1" t="s">
        <v>43</v>
      </c>
      <c r="J75" s="1" t="s">
        <v>44</v>
      </c>
      <c r="K75" s="1" t="s">
        <v>45</v>
      </c>
      <c r="L75" s="1" t="s">
        <v>406</v>
      </c>
      <c r="M75" s="1" t="s">
        <v>69</v>
      </c>
      <c r="N75" s="1">
        <v>58</v>
      </c>
      <c r="O75" s="1" t="s">
        <v>45</v>
      </c>
      <c r="P75" s="1" t="s">
        <v>45</v>
      </c>
      <c r="Q75" s="1" t="s">
        <v>411</v>
      </c>
      <c r="R75" s="1" t="s">
        <v>49</v>
      </c>
      <c r="S75" s="1" t="s">
        <v>50</v>
      </c>
      <c r="T75" s="1" t="s">
        <v>50</v>
      </c>
      <c r="U75" s="1" t="s">
        <v>45</v>
      </c>
      <c r="V75" s="1" t="s">
        <v>45</v>
      </c>
      <c r="W75" s="1" t="s">
        <v>45</v>
      </c>
      <c r="X75" s="1" t="s">
        <v>45</v>
      </c>
      <c r="Y75" s="1" t="s">
        <v>45</v>
      </c>
      <c r="Z75" s="1">
        <v>0</v>
      </c>
      <c r="AA75" s="1" t="s">
        <v>45</v>
      </c>
      <c r="AB75" s="1" t="s">
        <v>45</v>
      </c>
      <c r="AC75" s="1" t="s">
        <v>45</v>
      </c>
      <c r="AD75" s="1" t="s">
        <v>45</v>
      </c>
      <c r="AE75" s="1" t="s">
        <v>45</v>
      </c>
      <c r="AF75" s="1" t="s">
        <v>51</v>
      </c>
      <c r="AG75" s="1" t="s">
        <v>45</v>
      </c>
      <c r="AH75" s="1" t="s">
        <v>45</v>
      </c>
      <c r="AI75" s="1" t="s">
        <v>45</v>
      </c>
      <c r="AJ75" s="1" t="s">
        <v>45</v>
      </c>
      <c r="AK75" s="1" t="s">
        <v>45</v>
      </c>
      <c r="AL75" s="1" t="s">
        <v>49</v>
      </c>
      <c r="AM75" s="1" t="s">
        <v>49</v>
      </c>
      <c r="AN75" s="1">
        <v>0</v>
      </c>
      <c r="AO75" s="1">
        <v>0</v>
      </c>
      <c r="AP75" s="1">
        <v>0</v>
      </c>
    </row>
    <row r="76" spans="1:42" x14ac:dyDescent="0.25">
      <c r="A76" s="1" t="s">
        <v>412</v>
      </c>
      <c r="B76" s="1" t="s">
        <v>413</v>
      </c>
      <c r="C76" s="1" t="s">
        <v>414</v>
      </c>
      <c r="D76" s="1" t="str">
        <f t="shared" ref="D76:D82" si="11">+C76</f>
        <v>CORPORACION AGRICOLA BANAGREEN</v>
      </c>
      <c r="F76" s="1" t="s">
        <v>41</v>
      </c>
      <c r="G76" s="1" t="s">
        <v>42</v>
      </c>
      <c r="H76" s="1" t="s">
        <v>42</v>
      </c>
      <c r="I76" s="1" t="s">
        <v>43</v>
      </c>
      <c r="J76" s="1" t="s">
        <v>44</v>
      </c>
      <c r="K76" s="1" t="s">
        <v>45</v>
      </c>
      <c r="L76" s="1" t="s">
        <v>415</v>
      </c>
      <c r="M76" s="1" t="s">
        <v>47</v>
      </c>
      <c r="N76" s="1">
        <v>134</v>
      </c>
      <c r="O76" s="1" t="s">
        <v>45</v>
      </c>
      <c r="P76" s="1" t="s">
        <v>45</v>
      </c>
      <c r="Q76" s="1" t="s">
        <v>416</v>
      </c>
      <c r="R76" s="1" t="s">
        <v>49</v>
      </c>
      <c r="S76" s="1" t="s">
        <v>50</v>
      </c>
      <c r="T76" s="1" t="s">
        <v>50</v>
      </c>
      <c r="U76" s="1" t="s">
        <v>45</v>
      </c>
      <c r="V76" s="1" t="s">
        <v>45</v>
      </c>
      <c r="W76" s="1" t="s">
        <v>45</v>
      </c>
      <c r="X76" s="1" t="s">
        <v>45</v>
      </c>
      <c r="Y76" s="1" t="s">
        <v>45</v>
      </c>
      <c r="Z76" s="1">
        <v>0</v>
      </c>
      <c r="AA76" s="1" t="s">
        <v>45</v>
      </c>
      <c r="AB76" s="1" t="s">
        <v>45</v>
      </c>
      <c r="AC76" s="1" t="s">
        <v>45</v>
      </c>
      <c r="AD76" s="1" t="s">
        <v>45</v>
      </c>
      <c r="AE76" s="1" t="s">
        <v>45</v>
      </c>
      <c r="AF76" s="1" t="s">
        <v>51</v>
      </c>
      <c r="AG76" s="1" t="s">
        <v>45</v>
      </c>
      <c r="AH76" s="1" t="s">
        <v>45</v>
      </c>
      <c r="AI76" s="1" t="s">
        <v>45</v>
      </c>
      <c r="AJ76" s="1" t="s">
        <v>45</v>
      </c>
      <c r="AK76" s="1" t="s">
        <v>45</v>
      </c>
      <c r="AL76" s="1" t="s">
        <v>49</v>
      </c>
      <c r="AM76" s="1" t="s">
        <v>49</v>
      </c>
      <c r="AN76" s="1">
        <v>0</v>
      </c>
      <c r="AO76" s="1">
        <v>0</v>
      </c>
      <c r="AP76" s="1">
        <v>0</v>
      </c>
    </row>
    <row r="77" spans="1:42" x14ac:dyDescent="0.25">
      <c r="A77" s="1" t="s">
        <v>417</v>
      </c>
      <c r="B77" s="1" t="s">
        <v>418</v>
      </c>
      <c r="C77" s="1" t="s">
        <v>419</v>
      </c>
      <c r="D77" s="1" t="str">
        <f t="shared" si="11"/>
        <v>CORPORACION BASC CAPITULO AZUAY</v>
      </c>
      <c r="F77" s="1" t="s">
        <v>41</v>
      </c>
      <c r="G77" s="1" t="s">
        <v>42</v>
      </c>
      <c r="H77" s="1" t="s">
        <v>42</v>
      </c>
      <c r="I77" s="1" t="s">
        <v>43</v>
      </c>
      <c r="J77" s="1" t="s">
        <v>44</v>
      </c>
      <c r="K77" s="1" t="s">
        <v>45</v>
      </c>
      <c r="L77" s="1" t="s">
        <v>420</v>
      </c>
      <c r="M77" s="1" t="s">
        <v>421</v>
      </c>
      <c r="N77" s="1">
        <v>48</v>
      </c>
      <c r="O77" s="1" t="s">
        <v>45</v>
      </c>
      <c r="P77" s="1" t="s">
        <v>45</v>
      </c>
      <c r="Q77" s="1" t="s">
        <v>422</v>
      </c>
      <c r="R77" s="1" t="s">
        <v>49</v>
      </c>
      <c r="S77" s="1" t="s">
        <v>50</v>
      </c>
      <c r="T77" s="1" t="s">
        <v>50</v>
      </c>
      <c r="U77" s="1" t="s">
        <v>45</v>
      </c>
      <c r="V77" s="1" t="s">
        <v>45</v>
      </c>
      <c r="W77" s="1" t="s">
        <v>45</v>
      </c>
      <c r="X77" s="1" t="s">
        <v>45</v>
      </c>
      <c r="Y77" s="1" t="s">
        <v>45</v>
      </c>
      <c r="Z77" s="1">
        <v>0</v>
      </c>
      <c r="AA77" s="1" t="s">
        <v>45</v>
      </c>
      <c r="AB77" s="1" t="s">
        <v>45</v>
      </c>
      <c r="AC77" s="1" t="s">
        <v>45</v>
      </c>
      <c r="AD77" s="1" t="s">
        <v>45</v>
      </c>
      <c r="AE77" s="1" t="s">
        <v>45</v>
      </c>
      <c r="AF77" s="1" t="s">
        <v>51</v>
      </c>
      <c r="AG77" s="1" t="s">
        <v>45</v>
      </c>
      <c r="AH77" s="1" t="s">
        <v>45</v>
      </c>
      <c r="AI77" s="1" t="s">
        <v>45</v>
      </c>
      <c r="AJ77" s="1" t="s">
        <v>45</v>
      </c>
      <c r="AK77" s="1" t="s">
        <v>45</v>
      </c>
      <c r="AL77" s="1" t="s">
        <v>49</v>
      </c>
      <c r="AM77" s="1" t="s">
        <v>49</v>
      </c>
      <c r="AN77" s="1">
        <v>0</v>
      </c>
      <c r="AO77" s="1">
        <v>0</v>
      </c>
      <c r="AP77" s="1">
        <v>0</v>
      </c>
    </row>
    <row r="78" spans="1:42" x14ac:dyDescent="0.25">
      <c r="A78" s="1" t="s">
        <v>423</v>
      </c>
      <c r="B78" s="1" t="s">
        <v>424</v>
      </c>
      <c r="C78" s="1" t="s">
        <v>425</v>
      </c>
      <c r="D78" s="1" t="str">
        <f t="shared" si="11"/>
        <v>CORPORACION EL ROSADO S.A.</v>
      </c>
      <c r="F78" s="1" t="s">
        <v>41</v>
      </c>
      <c r="G78" s="1" t="s">
        <v>42</v>
      </c>
      <c r="H78" s="1" t="s">
        <v>42</v>
      </c>
      <c r="I78" s="1" t="s">
        <v>43</v>
      </c>
      <c r="J78" s="1" t="s">
        <v>44</v>
      </c>
      <c r="K78" s="1" t="s">
        <v>45</v>
      </c>
      <c r="L78" s="1" t="s">
        <v>426</v>
      </c>
      <c r="M78" s="1" t="s">
        <v>62</v>
      </c>
      <c r="N78" s="1">
        <v>3</v>
      </c>
      <c r="O78" s="1" t="s">
        <v>45</v>
      </c>
      <c r="P78" s="1" t="s">
        <v>45</v>
      </c>
      <c r="Q78" s="1" t="s">
        <v>45</v>
      </c>
      <c r="R78" s="1" t="s">
        <v>49</v>
      </c>
      <c r="S78" s="1" t="s">
        <v>50</v>
      </c>
      <c r="T78" s="1" t="s">
        <v>50</v>
      </c>
      <c r="U78" s="1" t="s">
        <v>45</v>
      </c>
      <c r="V78" s="1" t="s">
        <v>45</v>
      </c>
      <c r="W78" s="1" t="s">
        <v>45</v>
      </c>
      <c r="X78" s="1" t="s">
        <v>45</v>
      </c>
      <c r="Y78" s="1" t="s">
        <v>45</v>
      </c>
      <c r="Z78" s="1">
        <v>0</v>
      </c>
      <c r="AA78" s="1" t="s">
        <v>45</v>
      </c>
      <c r="AB78" s="1" t="s">
        <v>45</v>
      </c>
      <c r="AC78" s="1" t="s">
        <v>45</v>
      </c>
      <c r="AD78" s="1" t="s">
        <v>45</v>
      </c>
      <c r="AE78" s="1" t="s">
        <v>45</v>
      </c>
      <c r="AF78" s="1" t="s">
        <v>51</v>
      </c>
      <c r="AG78" s="1" t="s">
        <v>45</v>
      </c>
      <c r="AH78" s="1" t="s">
        <v>45</v>
      </c>
      <c r="AI78" s="1" t="s">
        <v>45</v>
      </c>
      <c r="AJ78" s="1" t="s">
        <v>45</v>
      </c>
      <c r="AK78" s="1" t="s">
        <v>45</v>
      </c>
      <c r="AL78" s="1" t="s">
        <v>49</v>
      </c>
      <c r="AM78" s="1" t="s">
        <v>49</v>
      </c>
      <c r="AN78" s="1">
        <v>0</v>
      </c>
      <c r="AO78" s="1">
        <v>0</v>
      </c>
      <c r="AP78" s="1">
        <v>0</v>
      </c>
    </row>
    <row r="79" spans="1:42" x14ac:dyDescent="0.25">
      <c r="A79" s="1" t="s">
        <v>427</v>
      </c>
      <c r="B79" s="1" t="s">
        <v>428</v>
      </c>
      <c r="C79" s="1" t="s">
        <v>429</v>
      </c>
      <c r="D79" s="1" t="str">
        <f t="shared" si="11"/>
        <v>CORPORACION FAVORITA C.A.</v>
      </c>
      <c r="F79" s="1" t="s">
        <v>41</v>
      </c>
      <c r="G79" s="1" t="s">
        <v>42</v>
      </c>
      <c r="H79" s="1" t="s">
        <v>42</v>
      </c>
      <c r="I79" s="1" t="s">
        <v>43</v>
      </c>
      <c r="J79" s="1" t="s">
        <v>44</v>
      </c>
      <c r="K79" s="1" t="s">
        <v>45</v>
      </c>
      <c r="L79" s="1" t="s">
        <v>430</v>
      </c>
      <c r="M79" s="1" t="s">
        <v>62</v>
      </c>
      <c r="N79" s="1">
        <v>3</v>
      </c>
      <c r="O79" s="1" t="s">
        <v>45</v>
      </c>
      <c r="P79" s="1" t="s">
        <v>45</v>
      </c>
      <c r="Q79" s="1" t="s">
        <v>45</v>
      </c>
      <c r="R79" s="1" t="s">
        <v>49</v>
      </c>
      <c r="S79" s="1" t="s">
        <v>50</v>
      </c>
      <c r="T79" s="1" t="s">
        <v>50</v>
      </c>
      <c r="U79" s="1" t="s">
        <v>45</v>
      </c>
      <c r="V79" s="1" t="s">
        <v>45</v>
      </c>
      <c r="W79" s="1" t="s">
        <v>45</v>
      </c>
      <c r="X79" s="1" t="s">
        <v>45</v>
      </c>
      <c r="Y79" s="1" t="s">
        <v>45</v>
      </c>
      <c r="Z79" s="1">
        <v>0</v>
      </c>
      <c r="AA79" s="1" t="s">
        <v>45</v>
      </c>
      <c r="AB79" s="1" t="s">
        <v>45</v>
      </c>
      <c r="AC79" s="1" t="s">
        <v>45</v>
      </c>
      <c r="AD79" s="1" t="s">
        <v>45</v>
      </c>
      <c r="AE79" s="1" t="s">
        <v>45</v>
      </c>
      <c r="AF79" s="1" t="s">
        <v>51</v>
      </c>
      <c r="AG79" s="1" t="s">
        <v>45</v>
      </c>
      <c r="AH79" s="1" t="s">
        <v>45</v>
      </c>
      <c r="AI79" s="1" t="s">
        <v>45</v>
      </c>
      <c r="AJ79" s="1" t="s">
        <v>45</v>
      </c>
      <c r="AK79" s="1" t="s">
        <v>45</v>
      </c>
      <c r="AL79" s="1" t="s">
        <v>49</v>
      </c>
      <c r="AM79" s="1" t="s">
        <v>49</v>
      </c>
      <c r="AN79" s="1">
        <v>0</v>
      </c>
      <c r="AO79" s="1">
        <v>0</v>
      </c>
      <c r="AP79" s="1">
        <v>0</v>
      </c>
    </row>
    <row r="80" spans="1:42" x14ac:dyDescent="0.25">
      <c r="A80" s="1" t="s">
        <v>431</v>
      </c>
      <c r="B80" s="1" t="s">
        <v>432</v>
      </c>
      <c r="C80" s="1" t="s">
        <v>433</v>
      </c>
      <c r="D80" s="1" t="str">
        <f t="shared" si="11"/>
        <v>CORPORACION NACIONAL DE TELECOMUNICACIONES CNT EP</v>
      </c>
      <c r="F80" s="1" t="s">
        <v>41</v>
      </c>
      <c r="G80" s="1" t="s">
        <v>55</v>
      </c>
      <c r="H80" s="1" t="s">
        <v>42</v>
      </c>
      <c r="I80" s="1" t="s">
        <v>43</v>
      </c>
      <c r="J80" s="1" t="s">
        <v>44</v>
      </c>
      <c r="K80" s="1" t="s">
        <v>45</v>
      </c>
      <c r="L80" s="1" t="s">
        <v>434</v>
      </c>
      <c r="M80" s="1" t="s">
        <v>62</v>
      </c>
      <c r="N80" s="1">
        <v>3</v>
      </c>
      <c r="O80" s="1" t="s">
        <v>435</v>
      </c>
      <c r="P80" s="1" t="s">
        <v>45</v>
      </c>
      <c r="Q80" s="1" t="s">
        <v>436</v>
      </c>
      <c r="R80" s="1" t="s">
        <v>49</v>
      </c>
      <c r="S80" s="1" t="s">
        <v>50</v>
      </c>
      <c r="T80" s="1" t="s">
        <v>50</v>
      </c>
      <c r="U80" s="1" t="s">
        <v>45</v>
      </c>
      <c r="V80" s="1" t="s">
        <v>45</v>
      </c>
      <c r="W80" s="1" t="s">
        <v>45</v>
      </c>
      <c r="X80" s="1" t="s">
        <v>45</v>
      </c>
      <c r="Y80" s="1" t="s">
        <v>45</v>
      </c>
      <c r="Z80" s="1">
        <v>0</v>
      </c>
      <c r="AA80" s="1" t="s">
        <v>45</v>
      </c>
      <c r="AB80" s="1" t="s">
        <v>45</v>
      </c>
      <c r="AC80" s="1" t="s">
        <v>45</v>
      </c>
      <c r="AD80" s="1" t="s">
        <v>45</v>
      </c>
      <c r="AE80" s="1" t="s">
        <v>45</v>
      </c>
      <c r="AF80" s="1" t="s">
        <v>51</v>
      </c>
      <c r="AG80" s="1" t="s">
        <v>437</v>
      </c>
      <c r="AH80" s="1" t="s">
        <v>45</v>
      </c>
      <c r="AI80" s="1" t="s">
        <v>45</v>
      </c>
      <c r="AJ80" s="1" t="s">
        <v>45</v>
      </c>
      <c r="AK80" s="1" t="s">
        <v>45</v>
      </c>
      <c r="AL80" s="1" t="s">
        <v>49</v>
      </c>
      <c r="AM80" s="1" t="s">
        <v>49</v>
      </c>
      <c r="AN80" s="1">
        <v>0</v>
      </c>
      <c r="AO80" s="1">
        <v>0</v>
      </c>
      <c r="AP80" s="1">
        <v>0</v>
      </c>
    </row>
    <row r="81" spans="1:42" x14ac:dyDescent="0.25">
      <c r="A81" s="1" t="s">
        <v>438</v>
      </c>
      <c r="B81" s="1" t="s">
        <v>439</v>
      </c>
      <c r="C81" s="1" t="s">
        <v>440</v>
      </c>
      <c r="D81" s="1" t="str">
        <f t="shared" si="11"/>
        <v>CORPORACION VALDEZ &amp; ORDO?EZ COVALDORCA C.A.</v>
      </c>
      <c r="F81" s="1" t="s">
        <v>41</v>
      </c>
      <c r="G81" s="1" t="s">
        <v>42</v>
      </c>
      <c r="H81" s="1" t="s">
        <v>42</v>
      </c>
      <c r="I81" s="1" t="s">
        <v>43</v>
      </c>
      <c r="J81" s="1" t="s">
        <v>44</v>
      </c>
      <c r="K81" s="1" t="s">
        <v>45</v>
      </c>
      <c r="L81" s="1" t="s">
        <v>441</v>
      </c>
      <c r="M81" s="1" t="s">
        <v>69</v>
      </c>
      <c r="N81" s="1">
        <v>58</v>
      </c>
      <c r="O81" s="1" t="s">
        <v>442</v>
      </c>
      <c r="P81" s="1" t="s">
        <v>45</v>
      </c>
      <c r="Q81" s="1" t="s">
        <v>443</v>
      </c>
      <c r="R81" s="1" t="s">
        <v>49</v>
      </c>
      <c r="S81" s="1" t="s">
        <v>50</v>
      </c>
      <c r="T81" s="1" t="s">
        <v>50</v>
      </c>
      <c r="U81" s="1" t="s">
        <v>45</v>
      </c>
      <c r="V81" s="1" t="s">
        <v>45</v>
      </c>
      <c r="W81" s="1" t="s">
        <v>45</v>
      </c>
      <c r="X81" s="1" t="s">
        <v>45</v>
      </c>
      <c r="Y81" s="1" t="s">
        <v>45</v>
      </c>
      <c r="Z81" s="1">
        <v>0</v>
      </c>
      <c r="AA81" s="1" t="s">
        <v>45</v>
      </c>
      <c r="AB81" s="1" t="s">
        <v>45</v>
      </c>
      <c r="AC81" s="1" t="s">
        <v>45</v>
      </c>
      <c r="AD81" s="1" t="s">
        <v>45</v>
      </c>
      <c r="AE81" s="1" t="s">
        <v>45</v>
      </c>
      <c r="AF81" s="1" t="s">
        <v>51</v>
      </c>
      <c r="AG81" s="1" t="s">
        <v>45</v>
      </c>
      <c r="AH81" s="1" t="s">
        <v>45</v>
      </c>
      <c r="AI81" s="1" t="s">
        <v>45</v>
      </c>
      <c r="AJ81" s="1" t="s">
        <v>45</v>
      </c>
      <c r="AK81" s="1" t="s">
        <v>45</v>
      </c>
      <c r="AL81" s="1" t="s">
        <v>49</v>
      </c>
      <c r="AM81" s="1" t="s">
        <v>49</v>
      </c>
      <c r="AN81" s="1">
        <v>0</v>
      </c>
      <c r="AO81" s="1">
        <v>0</v>
      </c>
      <c r="AP81" s="1">
        <v>0</v>
      </c>
    </row>
    <row r="82" spans="1:42" x14ac:dyDescent="0.25">
      <c r="A82" s="1" t="s">
        <v>444</v>
      </c>
      <c r="B82" s="1" t="s">
        <v>445</v>
      </c>
      <c r="C82" s="1" t="s">
        <v>446</v>
      </c>
      <c r="D82" s="1" t="str">
        <f t="shared" si="11"/>
        <v>COTISESA S A</v>
      </c>
      <c r="F82" s="1" t="s">
        <v>41</v>
      </c>
      <c r="G82" s="1" t="s">
        <v>42</v>
      </c>
      <c r="H82" s="1" t="s">
        <v>42</v>
      </c>
      <c r="I82" s="1" t="s">
        <v>43</v>
      </c>
      <c r="J82" s="1" t="s">
        <v>44</v>
      </c>
      <c r="K82" s="1" t="s">
        <v>45</v>
      </c>
      <c r="L82" s="1" t="s">
        <v>447</v>
      </c>
      <c r="M82" s="1" t="s">
        <v>97</v>
      </c>
      <c r="N82" s="1">
        <v>217</v>
      </c>
      <c r="O82" s="1" t="s">
        <v>448</v>
      </c>
      <c r="P82" s="1" t="s">
        <v>45</v>
      </c>
      <c r="Q82" s="1" t="s">
        <v>449</v>
      </c>
      <c r="R82" s="1" t="s">
        <v>49</v>
      </c>
      <c r="S82" s="1" t="s">
        <v>50</v>
      </c>
      <c r="T82" s="1" t="s">
        <v>50</v>
      </c>
      <c r="U82" s="1" t="s">
        <v>45</v>
      </c>
      <c r="V82" s="1" t="s">
        <v>45</v>
      </c>
      <c r="W82" s="1" t="s">
        <v>45</v>
      </c>
      <c r="X82" s="1" t="s">
        <v>45</v>
      </c>
      <c r="Y82" s="1" t="s">
        <v>45</v>
      </c>
      <c r="Z82" s="1">
        <v>0</v>
      </c>
      <c r="AA82" s="1" t="s">
        <v>45</v>
      </c>
      <c r="AB82" s="1" t="s">
        <v>45</v>
      </c>
      <c r="AC82" s="1" t="s">
        <v>45</v>
      </c>
      <c r="AD82" s="1" t="s">
        <v>45</v>
      </c>
      <c r="AE82" s="1" t="s">
        <v>45</v>
      </c>
      <c r="AF82" s="1" t="s">
        <v>51</v>
      </c>
      <c r="AG82" s="1" t="s">
        <v>45</v>
      </c>
      <c r="AH82" s="1" t="s">
        <v>45</v>
      </c>
      <c r="AI82" s="1" t="s">
        <v>45</v>
      </c>
      <c r="AJ82" s="1" t="s">
        <v>45</v>
      </c>
      <c r="AK82" s="1" t="s">
        <v>45</v>
      </c>
      <c r="AL82" s="1" t="s">
        <v>49</v>
      </c>
      <c r="AM82" s="1" t="s">
        <v>49</v>
      </c>
      <c r="AN82" s="1">
        <v>0</v>
      </c>
      <c r="AO82" s="1">
        <v>0</v>
      </c>
      <c r="AP82" s="1">
        <v>0</v>
      </c>
    </row>
    <row r="83" spans="1:42" x14ac:dyDescent="0.25">
      <c r="A83" s="1" t="s">
        <v>450</v>
      </c>
      <c r="B83" s="1" t="s">
        <v>451</v>
      </c>
      <c r="C83" s="1" t="s">
        <v>452</v>
      </c>
      <c r="D83" s="1" t="str">
        <f t="shared" si="9"/>
        <v>DAVILA AGUILERA</v>
      </c>
      <c r="E83" s="1" t="str">
        <f t="shared" ref="E83:E87" si="12">RIGHT(C83, LEN(C83) - FIND(" ", C83, FIND(" ", C83, FIND(" ", C83) + 0) + 1))</f>
        <v>MAURICIO FERNANDO</v>
      </c>
      <c r="F83" s="1" t="s">
        <v>41</v>
      </c>
      <c r="G83" s="1" t="s">
        <v>42</v>
      </c>
      <c r="H83" s="1" t="s">
        <v>42</v>
      </c>
      <c r="I83" s="1" t="s">
        <v>43</v>
      </c>
      <c r="J83" s="1" t="s">
        <v>44</v>
      </c>
      <c r="K83" s="1" t="s">
        <v>45</v>
      </c>
      <c r="L83" s="1" t="s">
        <v>453</v>
      </c>
      <c r="M83" s="1" t="s">
        <v>454</v>
      </c>
      <c r="O83" s="1" t="s">
        <v>45</v>
      </c>
      <c r="P83" s="1" t="s">
        <v>45</v>
      </c>
      <c r="Q83" s="1" t="s">
        <v>455</v>
      </c>
      <c r="R83" s="1" t="s">
        <v>49</v>
      </c>
      <c r="S83" s="1" t="s">
        <v>50</v>
      </c>
      <c r="T83" s="1" t="s">
        <v>50</v>
      </c>
      <c r="U83" s="1" t="s">
        <v>45</v>
      </c>
      <c r="V83" s="1" t="s">
        <v>45</v>
      </c>
      <c r="W83" s="1" t="s">
        <v>45</v>
      </c>
      <c r="X83" s="1" t="s">
        <v>45</v>
      </c>
      <c r="Y83" s="1" t="s">
        <v>45</v>
      </c>
      <c r="Z83" s="1">
        <v>0</v>
      </c>
      <c r="AA83" s="1" t="s">
        <v>45</v>
      </c>
      <c r="AB83" s="1" t="s">
        <v>45</v>
      </c>
      <c r="AC83" s="1" t="s">
        <v>45</v>
      </c>
      <c r="AD83" s="1" t="s">
        <v>45</v>
      </c>
      <c r="AE83" s="1" t="s">
        <v>45</v>
      </c>
      <c r="AF83" s="1" t="s">
        <v>51</v>
      </c>
      <c r="AG83" s="1" t="s">
        <v>45</v>
      </c>
      <c r="AH83" s="1" t="s">
        <v>45</v>
      </c>
      <c r="AI83" s="1" t="s">
        <v>45</v>
      </c>
      <c r="AJ83" s="1" t="s">
        <v>45</v>
      </c>
      <c r="AK83" s="1" t="s">
        <v>45</v>
      </c>
      <c r="AL83" s="1" t="s">
        <v>49</v>
      </c>
      <c r="AM83" s="1" t="s">
        <v>49</v>
      </c>
      <c r="AN83" s="1">
        <v>0</v>
      </c>
      <c r="AO83" s="1">
        <v>0</v>
      </c>
      <c r="AP83" s="1">
        <v>0</v>
      </c>
    </row>
    <row r="84" spans="1:42" x14ac:dyDescent="0.25">
      <c r="A84" s="1" t="s">
        <v>456</v>
      </c>
      <c r="B84" s="1" t="s">
        <v>457</v>
      </c>
      <c r="C84" s="1" t="s">
        <v>458</v>
      </c>
      <c r="D84" s="1" t="str">
        <f t="shared" si="9"/>
        <v>DAVILA CALDERON</v>
      </c>
      <c r="E84" s="1" t="str">
        <f t="shared" si="12"/>
        <v>MARCO VINICIO</v>
      </c>
      <c r="F84" s="1" t="s">
        <v>41</v>
      </c>
      <c r="G84" s="1" t="s">
        <v>42</v>
      </c>
      <c r="H84" s="1" t="s">
        <v>42</v>
      </c>
      <c r="I84" s="1" t="s">
        <v>43</v>
      </c>
      <c r="J84" s="1" t="s">
        <v>44</v>
      </c>
      <c r="K84" s="1" t="s">
        <v>45</v>
      </c>
      <c r="L84" s="1" t="s">
        <v>459</v>
      </c>
      <c r="M84" s="1" t="s">
        <v>69</v>
      </c>
      <c r="N84" s="1">
        <v>58</v>
      </c>
      <c r="O84" s="1" t="s">
        <v>460</v>
      </c>
      <c r="P84" s="1" t="s">
        <v>45</v>
      </c>
      <c r="Q84" s="1" t="s">
        <v>461</v>
      </c>
      <c r="R84" s="1" t="s">
        <v>49</v>
      </c>
      <c r="S84" s="1" t="s">
        <v>50</v>
      </c>
      <c r="T84" s="1" t="s">
        <v>50</v>
      </c>
      <c r="U84" s="1" t="s">
        <v>45</v>
      </c>
      <c r="V84" s="1" t="s">
        <v>45</v>
      </c>
      <c r="W84" s="1" t="s">
        <v>45</v>
      </c>
      <c r="X84" s="1" t="s">
        <v>45</v>
      </c>
      <c r="Y84" s="1" t="s">
        <v>45</v>
      </c>
      <c r="Z84" s="1">
        <v>0</v>
      </c>
      <c r="AA84" s="1" t="s">
        <v>45</v>
      </c>
      <c r="AB84" s="1" t="s">
        <v>45</v>
      </c>
      <c r="AC84" s="1" t="s">
        <v>45</v>
      </c>
      <c r="AD84" s="1" t="s">
        <v>45</v>
      </c>
      <c r="AE84" s="1" t="s">
        <v>45</v>
      </c>
      <c r="AF84" s="1" t="s">
        <v>51</v>
      </c>
      <c r="AG84" s="1" t="s">
        <v>45</v>
      </c>
      <c r="AH84" s="1" t="s">
        <v>45</v>
      </c>
      <c r="AI84" s="1" t="s">
        <v>45</v>
      </c>
      <c r="AJ84" s="1" t="s">
        <v>45</v>
      </c>
      <c r="AK84" s="1" t="s">
        <v>45</v>
      </c>
      <c r="AL84" s="1" t="s">
        <v>49</v>
      </c>
      <c r="AM84" s="1" t="s">
        <v>49</v>
      </c>
      <c r="AN84" s="1">
        <v>0</v>
      </c>
      <c r="AO84" s="1">
        <v>0</v>
      </c>
      <c r="AP84" s="1">
        <v>0</v>
      </c>
    </row>
    <row r="85" spans="1:42" x14ac:dyDescent="0.25">
      <c r="A85" s="1" t="s">
        <v>462</v>
      </c>
      <c r="B85" s="1" t="s">
        <v>463</v>
      </c>
      <c r="C85" s="1" t="s">
        <v>464</v>
      </c>
      <c r="D85" s="1" t="str">
        <f t="shared" si="9"/>
        <v>DAVILA MALDONADO</v>
      </c>
      <c r="E85" s="1" t="str">
        <f t="shared" si="12"/>
        <v>ESTEBAN BAYARDO</v>
      </c>
      <c r="F85" s="1" t="s">
        <v>41</v>
      </c>
      <c r="G85" s="1" t="s">
        <v>42</v>
      </c>
      <c r="H85" s="1" t="s">
        <v>42</v>
      </c>
      <c r="I85" s="1" t="s">
        <v>43</v>
      </c>
      <c r="J85" s="1" t="s">
        <v>44</v>
      </c>
      <c r="K85" s="1" t="s">
        <v>45</v>
      </c>
      <c r="L85" s="1" t="s">
        <v>465</v>
      </c>
      <c r="M85" s="1" t="s">
        <v>466</v>
      </c>
      <c r="N85" s="1">
        <v>95</v>
      </c>
      <c r="O85" s="1" t="s">
        <v>45</v>
      </c>
      <c r="P85" s="1" t="s">
        <v>45</v>
      </c>
      <c r="Q85" s="1" t="s">
        <v>467</v>
      </c>
      <c r="R85" s="1" t="s">
        <v>49</v>
      </c>
      <c r="S85" s="1" t="s">
        <v>50</v>
      </c>
      <c r="T85" s="1" t="s">
        <v>50</v>
      </c>
      <c r="U85" s="1" t="s">
        <v>45</v>
      </c>
      <c r="V85" s="1" t="s">
        <v>45</v>
      </c>
      <c r="W85" s="1" t="s">
        <v>45</v>
      </c>
      <c r="X85" s="1" t="s">
        <v>45</v>
      </c>
      <c r="Y85" s="1" t="s">
        <v>45</v>
      </c>
      <c r="Z85" s="1">
        <v>0</v>
      </c>
      <c r="AA85" s="1" t="s">
        <v>45</v>
      </c>
      <c r="AB85" s="1" t="s">
        <v>45</v>
      </c>
      <c r="AC85" s="1" t="s">
        <v>45</v>
      </c>
      <c r="AD85" s="1" t="s">
        <v>45</v>
      </c>
      <c r="AE85" s="1" t="s">
        <v>45</v>
      </c>
      <c r="AF85" s="1" t="s">
        <v>51</v>
      </c>
      <c r="AG85" s="1" t="s">
        <v>45</v>
      </c>
      <c r="AH85" s="1" t="s">
        <v>45</v>
      </c>
      <c r="AI85" s="1" t="s">
        <v>45</v>
      </c>
      <c r="AJ85" s="1" t="s">
        <v>45</v>
      </c>
      <c r="AK85" s="1" t="s">
        <v>45</v>
      </c>
      <c r="AL85" s="1" t="s">
        <v>49</v>
      </c>
      <c r="AM85" s="1" t="s">
        <v>49</v>
      </c>
      <c r="AN85" s="1">
        <v>0</v>
      </c>
      <c r="AO85" s="1">
        <v>0</v>
      </c>
      <c r="AP85" s="1">
        <v>0</v>
      </c>
    </row>
    <row r="86" spans="1:42" x14ac:dyDescent="0.25">
      <c r="A86" s="1" t="s">
        <v>468</v>
      </c>
      <c r="B86" s="1" t="s">
        <v>469</v>
      </c>
      <c r="C86" s="1" t="s">
        <v>470</v>
      </c>
      <c r="D86" s="1" t="str">
        <f t="shared" si="9"/>
        <v>DIEGO ARMANDOMENDIETA</v>
      </c>
      <c r="E86" s="1" t="str">
        <f t="shared" si="12"/>
        <v>ROBLESDIEGO ARMANDO</v>
      </c>
      <c r="F86" s="1" t="s">
        <v>41</v>
      </c>
      <c r="G86" s="1" t="s">
        <v>42</v>
      </c>
      <c r="H86" s="1" t="s">
        <v>42</v>
      </c>
      <c r="I86" s="1" t="s">
        <v>45</v>
      </c>
      <c r="J86" s="1" t="s">
        <v>45</v>
      </c>
      <c r="K86" s="1" t="s">
        <v>45</v>
      </c>
      <c r="L86" s="1" t="s">
        <v>471</v>
      </c>
      <c r="M86" s="1" t="s">
        <v>92</v>
      </c>
      <c r="N86" s="1">
        <v>78</v>
      </c>
      <c r="O86" s="1" t="s">
        <v>407</v>
      </c>
      <c r="P86" s="1" t="s">
        <v>45</v>
      </c>
      <c r="Q86" s="1" t="s">
        <v>472</v>
      </c>
      <c r="R86" s="1" t="s">
        <v>49</v>
      </c>
      <c r="S86" s="1" t="s">
        <v>50</v>
      </c>
      <c r="T86" s="1" t="s">
        <v>50</v>
      </c>
      <c r="U86" s="1" t="s">
        <v>45</v>
      </c>
      <c r="V86" s="1" t="s">
        <v>45</v>
      </c>
      <c r="W86" s="1" t="s">
        <v>45</v>
      </c>
      <c r="X86" s="1" t="s">
        <v>45</v>
      </c>
      <c r="Y86" s="1" t="s">
        <v>45</v>
      </c>
      <c r="Z86" s="1">
        <v>0</v>
      </c>
      <c r="AA86" s="1" t="s">
        <v>45</v>
      </c>
      <c r="AB86" s="1" t="s">
        <v>45</v>
      </c>
      <c r="AC86" s="1" t="s">
        <v>45</v>
      </c>
      <c r="AD86" s="1" t="s">
        <v>45</v>
      </c>
      <c r="AE86" s="1" t="s">
        <v>45</v>
      </c>
      <c r="AF86" s="1" t="s">
        <v>51</v>
      </c>
      <c r="AG86" s="1" t="s">
        <v>45</v>
      </c>
      <c r="AH86" s="1" t="s">
        <v>45</v>
      </c>
      <c r="AI86" s="1" t="s">
        <v>45</v>
      </c>
      <c r="AJ86" s="1" t="s">
        <v>45</v>
      </c>
      <c r="AK86" s="1" t="s">
        <v>45</v>
      </c>
      <c r="AL86" s="1" t="s">
        <v>49</v>
      </c>
      <c r="AM86" s="1" t="s">
        <v>49</v>
      </c>
      <c r="AN86" s="1">
        <v>0</v>
      </c>
      <c r="AO86" s="1">
        <v>0</v>
      </c>
      <c r="AP86" s="1">
        <v>0</v>
      </c>
    </row>
    <row r="87" spans="1:42" x14ac:dyDescent="0.25">
      <c r="A87" s="1" t="s">
        <v>473</v>
      </c>
      <c r="B87" s="1" t="s">
        <v>474</v>
      </c>
      <c r="C87" s="1" t="s">
        <v>475</v>
      </c>
      <c r="D87" s="1" t="str">
        <f>LEFT(C87, FIND(" ", C87, FIND(" ", C87) + 1) - 1)</f>
        <v>DIEGO DE</v>
      </c>
      <c r="E87" s="1" t="str">
        <f t="shared" si="12"/>
        <v>LA BARRERA GONZALEZ</v>
      </c>
      <c r="F87" s="1" t="s">
        <v>41</v>
      </c>
      <c r="G87" s="1" t="s">
        <v>42</v>
      </c>
      <c r="H87" s="1" t="s">
        <v>42</v>
      </c>
      <c r="I87" s="1" t="s">
        <v>43</v>
      </c>
      <c r="J87" s="1" t="s">
        <v>44</v>
      </c>
      <c r="K87" s="1" t="s">
        <v>45</v>
      </c>
      <c r="L87" s="1" t="s">
        <v>476</v>
      </c>
      <c r="M87" s="1" t="s">
        <v>92</v>
      </c>
      <c r="N87" s="1">
        <v>78</v>
      </c>
      <c r="O87" s="1" t="s">
        <v>45</v>
      </c>
      <c r="P87" s="1" t="s">
        <v>45</v>
      </c>
      <c r="Q87" s="1" t="s">
        <v>472</v>
      </c>
      <c r="R87" s="1" t="s">
        <v>49</v>
      </c>
      <c r="S87" s="1" t="s">
        <v>50</v>
      </c>
      <c r="T87" s="1" t="s">
        <v>50</v>
      </c>
      <c r="U87" s="1" t="s">
        <v>45</v>
      </c>
      <c r="V87" s="1" t="s">
        <v>45</v>
      </c>
      <c r="W87" s="1" t="s">
        <v>45</v>
      </c>
      <c r="X87" s="1" t="s">
        <v>45</v>
      </c>
      <c r="Y87" s="1" t="s">
        <v>45</v>
      </c>
      <c r="Z87" s="1">
        <v>0</v>
      </c>
      <c r="AA87" s="1" t="s">
        <v>45</v>
      </c>
      <c r="AB87" s="1" t="s">
        <v>45</v>
      </c>
      <c r="AC87" s="1" t="s">
        <v>45</v>
      </c>
      <c r="AD87" s="1" t="s">
        <v>45</v>
      </c>
      <c r="AE87" s="1" t="s">
        <v>45</v>
      </c>
      <c r="AF87" s="1" t="s">
        <v>51</v>
      </c>
      <c r="AG87" s="1" t="s">
        <v>45</v>
      </c>
      <c r="AH87" s="1" t="s">
        <v>45</v>
      </c>
      <c r="AI87" s="1" t="s">
        <v>45</v>
      </c>
      <c r="AJ87" s="1" t="s">
        <v>45</v>
      </c>
      <c r="AK87" s="1" t="s">
        <v>45</v>
      </c>
      <c r="AL87" s="1" t="s">
        <v>49</v>
      </c>
      <c r="AM87" s="1" t="s">
        <v>49</v>
      </c>
      <c r="AN87" s="1">
        <v>0</v>
      </c>
      <c r="AO87" s="1">
        <v>0</v>
      </c>
      <c r="AP87" s="1">
        <v>0</v>
      </c>
    </row>
    <row r="88" spans="1:42" x14ac:dyDescent="0.25">
      <c r="A88" s="1" t="s">
        <v>477</v>
      </c>
      <c r="B88" s="1" t="s">
        <v>478</v>
      </c>
      <c r="C88" s="1" t="s">
        <v>479</v>
      </c>
      <c r="D88" s="1" t="str">
        <f>+C88</f>
        <v>DIRECCION GENERAL DEL REGISTRO CIVIL INDENTIFICACION Y CEDUL</v>
      </c>
      <c r="F88" s="1" t="s">
        <v>41</v>
      </c>
      <c r="G88" s="1" t="s">
        <v>42</v>
      </c>
      <c r="H88" s="1" t="s">
        <v>42</v>
      </c>
      <c r="I88" s="1" t="s">
        <v>43</v>
      </c>
      <c r="J88" s="1" t="s">
        <v>44</v>
      </c>
      <c r="K88" s="1" t="s">
        <v>45</v>
      </c>
      <c r="L88" s="1" t="s">
        <v>480</v>
      </c>
      <c r="M88" s="1" t="s">
        <v>69</v>
      </c>
      <c r="N88" s="1">
        <v>58</v>
      </c>
      <c r="O88" s="1" t="s">
        <v>45</v>
      </c>
      <c r="P88" s="1" t="s">
        <v>45</v>
      </c>
      <c r="Q88" s="1" t="s">
        <v>45</v>
      </c>
      <c r="R88" s="1" t="s">
        <v>49</v>
      </c>
      <c r="S88" s="1" t="s">
        <v>50</v>
      </c>
      <c r="T88" s="1" t="s">
        <v>50</v>
      </c>
      <c r="U88" s="1" t="s">
        <v>45</v>
      </c>
      <c r="V88" s="1" t="s">
        <v>45</v>
      </c>
      <c r="W88" s="1" t="s">
        <v>45</v>
      </c>
      <c r="X88" s="1" t="s">
        <v>45</v>
      </c>
      <c r="Y88" s="1" t="s">
        <v>45</v>
      </c>
      <c r="Z88" s="1">
        <v>0</v>
      </c>
      <c r="AA88" s="1" t="s">
        <v>45</v>
      </c>
      <c r="AB88" s="1" t="s">
        <v>45</v>
      </c>
      <c r="AC88" s="1" t="s">
        <v>45</v>
      </c>
      <c r="AD88" s="1" t="s">
        <v>45</v>
      </c>
      <c r="AE88" s="1" t="s">
        <v>45</v>
      </c>
      <c r="AF88" s="1" t="s">
        <v>51</v>
      </c>
      <c r="AG88" s="1" t="s">
        <v>45</v>
      </c>
      <c r="AH88" s="1" t="s">
        <v>45</v>
      </c>
      <c r="AI88" s="1" t="s">
        <v>45</v>
      </c>
      <c r="AJ88" s="1" t="s">
        <v>45</v>
      </c>
      <c r="AK88" s="1" t="s">
        <v>45</v>
      </c>
      <c r="AL88" s="1" t="s">
        <v>49</v>
      </c>
      <c r="AM88" s="1" t="s">
        <v>49</v>
      </c>
      <c r="AN88" s="1">
        <v>0</v>
      </c>
      <c r="AO88" s="1">
        <v>0</v>
      </c>
      <c r="AP88" s="1">
        <v>0</v>
      </c>
    </row>
    <row r="89" spans="1:42" x14ac:dyDescent="0.25">
      <c r="A89" s="1" t="s">
        <v>481</v>
      </c>
      <c r="B89" s="1" t="s">
        <v>482</v>
      </c>
      <c r="C89" s="1" t="s">
        <v>483</v>
      </c>
      <c r="D89" s="1" t="str">
        <f>+C89</f>
        <v>DISTRIBUIDORA CASTILLO DEL AHORRO SUCURSAL02</v>
      </c>
      <c r="F89" s="1" t="s">
        <v>41</v>
      </c>
      <c r="G89" s="1" t="s">
        <v>42</v>
      </c>
      <c r="H89" s="1" t="s">
        <v>42</v>
      </c>
      <c r="I89" s="1" t="s">
        <v>43</v>
      </c>
      <c r="J89" s="1" t="s">
        <v>44</v>
      </c>
      <c r="K89" s="1" t="s">
        <v>45</v>
      </c>
      <c r="L89" s="1" t="s">
        <v>484</v>
      </c>
      <c r="M89" s="1" t="s">
        <v>62</v>
      </c>
      <c r="N89" s="1">
        <v>3</v>
      </c>
      <c r="O89" s="1" t="s">
        <v>45</v>
      </c>
      <c r="P89" s="1" t="s">
        <v>45</v>
      </c>
      <c r="Q89" s="1" t="s">
        <v>45</v>
      </c>
      <c r="R89" s="1" t="s">
        <v>49</v>
      </c>
      <c r="S89" s="1" t="s">
        <v>50</v>
      </c>
      <c r="T89" s="1" t="s">
        <v>50</v>
      </c>
      <c r="U89" s="1" t="s">
        <v>45</v>
      </c>
      <c r="V89" s="1" t="s">
        <v>45</v>
      </c>
      <c r="W89" s="1" t="s">
        <v>45</v>
      </c>
      <c r="X89" s="1" t="s">
        <v>45</v>
      </c>
      <c r="Y89" s="1" t="s">
        <v>45</v>
      </c>
      <c r="Z89" s="1">
        <v>0</v>
      </c>
      <c r="AA89" s="1" t="s">
        <v>45</v>
      </c>
      <c r="AB89" s="1" t="s">
        <v>45</v>
      </c>
      <c r="AC89" s="1" t="s">
        <v>45</v>
      </c>
      <c r="AD89" s="1" t="s">
        <v>45</v>
      </c>
      <c r="AE89" s="1" t="s">
        <v>45</v>
      </c>
      <c r="AF89" s="1" t="s">
        <v>51</v>
      </c>
      <c r="AG89" s="1" t="s">
        <v>45</v>
      </c>
      <c r="AH89" s="1" t="s">
        <v>45</v>
      </c>
      <c r="AI89" s="1" t="s">
        <v>45</v>
      </c>
      <c r="AJ89" s="1" t="s">
        <v>45</v>
      </c>
      <c r="AK89" s="1" t="s">
        <v>45</v>
      </c>
      <c r="AL89" s="1" t="s">
        <v>49</v>
      </c>
      <c r="AM89" s="1" t="s">
        <v>49</v>
      </c>
      <c r="AN89" s="1">
        <v>0</v>
      </c>
      <c r="AO89" s="1">
        <v>0</v>
      </c>
      <c r="AP89" s="1">
        <v>0</v>
      </c>
    </row>
    <row r="90" spans="1:42" x14ac:dyDescent="0.25">
      <c r="A90" s="1" t="s">
        <v>485</v>
      </c>
      <c r="B90" s="1" t="s">
        <v>486</v>
      </c>
      <c r="C90" s="1" t="s">
        <v>487</v>
      </c>
      <c r="D90" s="1" t="str">
        <f>+C90</f>
        <v>EDITORIAL DEL SUR CIA LTDA</v>
      </c>
      <c r="F90" s="1" t="s">
        <v>41</v>
      </c>
      <c r="G90" s="1" t="s">
        <v>42</v>
      </c>
      <c r="H90" s="1" t="s">
        <v>42</v>
      </c>
      <c r="I90" s="1" t="s">
        <v>43</v>
      </c>
      <c r="J90" s="1" t="s">
        <v>44</v>
      </c>
      <c r="K90" s="1" t="s">
        <v>45</v>
      </c>
      <c r="L90" s="1" t="s">
        <v>488</v>
      </c>
      <c r="M90" s="1" t="s">
        <v>62</v>
      </c>
      <c r="N90" s="1">
        <v>3</v>
      </c>
      <c r="O90" s="1" t="s">
        <v>45</v>
      </c>
      <c r="P90" s="1" t="s">
        <v>45</v>
      </c>
      <c r="Q90" s="1" t="s">
        <v>489</v>
      </c>
      <c r="R90" s="1" t="s">
        <v>49</v>
      </c>
      <c r="S90" s="1" t="s">
        <v>50</v>
      </c>
      <c r="T90" s="1" t="s">
        <v>50</v>
      </c>
      <c r="U90" s="1" t="s">
        <v>45</v>
      </c>
      <c r="V90" s="1" t="s">
        <v>45</v>
      </c>
      <c r="W90" s="1" t="s">
        <v>45</v>
      </c>
      <c r="X90" s="1" t="s">
        <v>45</v>
      </c>
      <c r="Y90" s="1" t="s">
        <v>45</v>
      </c>
      <c r="Z90" s="1">
        <v>0</v>
      </c>
      <c r="AA90" s="1" t="s">
        <v>45</v>
      </c>
      <c r="AB90" s="1" t="s">
        <v>45</v>
      </c>
      <c r="AC90" s="1" t="s">
        <v>45</v>
      </c>
      <c r="AD90" s="1" t="s">
        <v>45</v>
      </c>
      <c r="AE90" s="1" t="s">
        <v>45</v>
      </c>
      <c r="AF90" s="1" t="s">
        <v>51</v>
      </c>
      <c r="AG90" s="1" t="s">
        <v>45</v>
      </c>
      <c r="AH90" s="1" t="s">
        <v>45</v>
      </c>
      <c r="AI90" s="1" t="s">
        <v>45</v>
      </c>
      <c r="AJ90" s="1" t="s">
        <v>45</v>
      </c>
      <c r="AK90" s="1" t="s">
        <v>45</v>
      </c>
      <c r="AL90" s="1" t="s">
        <v>49</v>
      </c>
      <c r="AM90" s="1" t="s">
        <v>49</v>
      </c>
      <c r="AN90" s="1">
        <v>0</v>
      </c>
      <c r="AO90" s="1">
        <v>0</v>
      </c>
      <c r="AP90" s="1">
        <v>0</v>
      </c>
    </row>
    <row r="91" spans="1:42" x14ac:dyDescent="0.25">
      <c r="A91" s="1" t="s">
        <v>490</v>
      </c>
      <c r="B91" s="1" t="s">
        <v>491</v>
      </c>
      <c r="C91" s="1" t="s">
        <v>492</v>
      </c>
      <c r="D91" s="1" t="str">
        <f>+C91</f>
        <v>EMPRESA ELECTRICA PUBLICA ESTRATEGICA CORPORACION NACIONAL D</v>
      </c>
      <c r="F91" s="1" t="s">
        <v>228</v>
      </c>
      <c r="G91" s="1" t="s">
        <v>42</v>
      </c>
      <c r="H91" s="1" t="s">
        <v>42</v>
      </c>
      <c r="I91" s="1" t="s">
        <v>43</v>
      </c>
      <c r="J91" s="1" t="s">
        <v>44</v>
      </c>
      <c r="K91" s="1" t="s">
        <v>45</v>
      </c>
      <c r="L91" s="1" t="s">
        <v>493</v>
      </c>
      <c r="M91" s="1" t="s">
        <v>62</v>
      </c>
      <c r="N91" s="1">
        <v>3</v>
      </c>
      <c r="O91" s="1" t="s">
        <v>45</v>
      </c>
      <c r="P91" s="1" t="s">
        <v>45</v>
      </c>
      <c r="Q91" s="1" t="s">
        <v>494</v>
      </c>
      <c r="R91" s="1" t="s">
        <v>49</v>
      </c>
      <c r="S91" s="1" t="s">
        <v>50</v>
      </c>
      <c r="T91" s="1" t="s">
        <v>50</v>
      </c>
      <c r="U91" s="1" t="s">
        <v>45</v>
      </c>
      <c r="V91" s="1" t="s">
        <v>45</v>
      </c>
      <c r="W91" s="1" t="s">
        <v>45</v>
      </c>
      <c r="X91" s="1" t="s">
        <v>45</v>
      </c>
      <c r="Y91" s="1" t="s">
        <v>45</v>
      </c>
      <c r="Z91" s="1">
        <v>0</v>
      </c>
      <c r="AA91" s="1" t="s">
        <v>45</v>
      </c>
      <c r="AB91" s="1" t="s">
        <v>45</v>
      </c>
      <c r="AC91" s="1" t="s">
        <v>45</v>
      </c>
      <c r="AD91" s="1" t="s">
        <v>45</v>
      </c>
      <c r="AE91" s="1" t="s">
        <v>45</v>
      </c>
      <c r="AF91" s="1" t="s">
        <v>51</v>
      </c>
      <c r="AG91" s="1" t="s">
        <v>45</v>
      </c>
      <c r="AH91" s="1" t="s">
        <v>45</v>
      </c>
      <c r="AI91" s="1" t="s">
        <v>45</v>
      </c>
      <c r="AJ91" s="1" t="s">
        <v>45</v>
      </c>
      <c r="AK91" s="1" t="s">
        <v>45</v>
      </c>
      <c r="AL91" s="1" t="s">
        <v>49</v>
      </c>
      <c r="AM91" s="1" t="s">
        <v>49</v>
      </c>
      <c r="AN91" s="1">
        <v>0</v>
      </c>
      <c r="AO91" s="1">
        <v>0</v>
      </c>
      <c r="AP91" s="1">
        <v>0</v>
      </c>
    </row>
    <row r="92" spans="1:42" x14ac:dyDescent="0.25">
      <c r="A92" s="1" t="s">
        <v>495</v>
      </c>
      <c r="B92" s="1" t="s">
        <v>496</v>
      </c>
      <c r="C92" s="1" t="s">
        <v>497</v>
      </c>
      <c r="D92" s="1" t="str">
        <f>+C92</f>
        <v>EMPRESA PUBLICA DE AGUA POTABLE Y ALCANTARILLADO DE EL GUABO</v>
      </c>
      <c r="F92" s="1" t="s">
        <v>41</v>
      </c>
      <c r="G92" s="1" t="s">
        <v>42</v>
      </c>
      <c r="H92" s="1" t="s">
        <v>42</v>
      </c>
      <c r="I92" s="1" t="s">
        <v>43</v>
      </c>
      <c r="J92" s="1" t="s">
        <v>44</v>
      </c>
      <c r="K92" s="1" t="s">
        <v>45</v>
      </c>
      <c r="L92" s="1" t="s">
        <v>498</v>
      </c>
      <c r="M92" s="1" t="s">
        <v>69</v>
      </c>
      <c r="N92" s="1">
        <v>58</v>
      </c>
      <c r="O92" s="1" t="s">
        <v>45</v>
      </c>
      <c r="P92" s="1" t="s">
        <v>45</v>
      </c>
      <c r="Q92" s="1" t="s">
        <v>45</v>
      </c>
      <c r="R92" s="1" t="s">
        <v>49</v>
      </c>
      <c r="S92" s="1" t="s">
        <v>50</v>
      </c>
      <c r="T92" s="1" t="s">
        <v>50</v>
      </c>
      <c r="U92" s="1" t="s">
        <v>45</v>
      </c>
      <c r="V92" s="1" t="s">
        <v>45</v>
      </c>
      <c r="W92" s="1" t="s">
        <v>45</v>
      </c>
      <c r="X92" s="1" t="s">
        <v>45</v>
      </c>
      <c r="Y92" s="1" t="s">
        <v>45</v>
      </c>
      <c r="Z92" s="1">
        <v>0</v>
      </c>
      <c r="AA92" s="1" t="s">
        <v>45</v>
      </c>
      <c r="AB92" s="1" t="s">
        <v>45</v>
      </c>
      <c r="AC92" s="1" t="s">
        <v>45</v>
      </c>
      <c r="AD92" s="1" t="s">
        <v>45</v>
      </c>
      <c r="AE92" s="1" t="s">
        <v>45</v>
      </c>
      <c r="AF92" s="1" t="s">
        <v>51</v>
      </c>
      <c r="AG92" s="1" t="s">
        <v>45</v>
      </c>
      <c r="AH92" s="1" t="s">
        <v>45</v>
      </c>
      <c r="AI92" s="1" t="s">
        <v>45</v>
      </c>
      <c r="AJ92" s="1" t="s">
        <v>45</v>
      </c>
      <c r="AK92" s="1" t="s">
        <v>499</v>
      </c>
      <c r="AL92" s="1" t="s">
        <v>49</v>
      </c>
      <c r="AM92" s="1" t="s">
        <v>49</v>
      </c>
      <c r="AN92" s="1">
        <v>0</v>
      </c>
      <c r="AO92" s="1">
        <v>0</v>
      </c>
      <c r="AP92" s="1">
        <v>0</v>
      </c>
    </row>
    <row r="93" spans="1:42" x14ac:dyDescent="0.25">
      <c r="A93" s="1" t="s">
        <v>500</v>
      </c>
      <c r="B93" s="1" t="s">
        <v>501</v>
      </c>
      <c r="C93" s="1" t="s">
        <v>502</v>
      </c>
      <c r="D93" s="1" t="str">
        <f t="shared" si="9"/>
        <v>ESPINOZA CORNEJO</v>
      </c>
      <c r="E93" s="1" t="str">
        <f t="shared" ref="E93:E95" si="13">RIGHT(C93, LEN(C93) - FIND(" ", C93, FIND(" ", C93, FIND(" ", C93) + 0) + 1))</f>
        <v>HECTOR PATRICIO</v>
      </c>
      <c r="F93" s="1" t="s">
        <v>41</v>
      </c>
      <c r="G93" s="1" t="s">
        <v>42</v>
      </c>
      <c r="H93" s="1" t="s">
        <v>42</v>
      </c>
      <c r="I93" s="1" t="s">
        <v>43</v>
      </c>
      <c r="J93" s="1" t="s">
        <v>44</v>
      </c>
      <c r="K93" s="1" t="s">
        <v>45</v>
      </c>
      <c r="L93" s="1" t="s">
        <v>503</v>
      </c>
      <c r="M93" s="1" t="s">
        <v>62</v>
      </c>
      <c r="N93" s="1">
        <v>3</v>
      </c>
      <c r="O93" s="1" t="s">
        <v>45</v>
      </c>
      <c r="P93" s="1" t="s">
        <v>45</v>
      </c>
      <c r="Q93" s="1" t="s">
        <v>504</v>
      </c>
      <c r="R93" s="1" t="s">
        <v>49</v>
      </c>
      <c r="S93" s="1" t="s">
        <v>50</v>
      </c>
      <c r="T93" s="1" t="s">
        <v>50</v>
      </c>
      <c r="U93" s="1" t="s">
        <v>45</v>
      </c>
      <c r="V93" s="1" t="s">
        <v>45</v>
      </c>
      <c r="W93" s="1" t="s">
        <v>45</v>
      </c>
      <c r="X93" s="1" t="s">
        <v>45</v>
      </c>
      <c r="Y93" s="1" t="s">
        <v>45</v>
      </c>
      <c r="Z93" s="1">
        <v>0</v>
      </c>
      <c r="AA93" s="1" t="s">
        <v>45</v>
      </c>
      <c r="AB93" s="1" t="s">
        <v>45</v>
      </c>
      <c r="AC93" s="1" t="s">
        <v>45</v>
      </c>
      <c r="AD93" s="1" t="s">
        <v>45</v>
      </c>
      <c r="AE93" s="1" t="s">
        <v>45</v>
      </c>
      <c r="AF93" s="1" t="s">
        <v>51</v>
      </c>
      <c r="AG93" s="1" t="s">
        <v>45</v>
      </c>
      <c r="AH93" s="1" t="s">
        <v>45</v>
      </c>
      <c r="AI93" s="1" t="s">
        <v>45</v>
      </c>
      <c r="AJ93" s="1" t="s">
        <v>45</v>
      </c>
      <c r="AK93" s="1" t="s">
        <v>505</v>
      </c>
      <c r="AL93" s="1" t="s">
        <v>49</v>
      </c>
      <c r="AM93" s="1" t="s">
        <v>49</v>
      </c>
      <c r="AN93" s="1">
        <v>0</v>
      </c>
      <c r="AO93" s="1">
        <v>0</v>
      </c>
      <c r="AP93" s="1">
        <v>0</v>
      </c>
    </row>
    <row r="94" spans="1:42" x14ac:dyDescent="0.25">
      <c r="A94" s="1" t="s">
        <v>506</v>
      </c>
      <c r="B94" s="1" t="s">
        <v>507</v>
      </c>
      <c r="C94" s="1" t="s">
        <v>508</v>
      </c>
      <c r="D94" s="1" t="str">
        <f t="shared" si="9"/>
        <v>ESPINOZA RAMIREZ</v>
      </c>
      <c r="E94" s="1" t="str">
        <f t="shared" si="13"/>
        <v>KLEBER DE LA CRUZ</v>
      </c>
      <c r="F94" s="1" t="s">
        <v>41</v>
      </c>
      <c r="G94" s="1" t="s">
        <v>42</v>
      </c>
      <c r="H94" s="1" t="s">
        <v>42</v>
      </c>
      <c r="I94" s="1" t="s">
        <v>43</v>
      </c>
      <c r="J94" s="1" t="s">
        <v>44</v>
      </c>
      <c r="K94" s="1" t="s">
        <v>45</v>
      </c>
      <c r="L94" s="1" t="s">
        <v>509</v>
      </c>
      <c r="M94" s="1" t="s">
        <v>69</v>
      </c>
      <c r="N94" s="1">
        <v>58</v>
      </c>
      <c r="O94" s="1" t="s">
        <v>510</v>
      </c>
      <c r="P94" s="1" t="s">
        <v>45</v>
      </c>
      <c r="Q94" s="1" t="s">
        <v>45</v>
      </c>
      <c r="R94" s="1" t="s">
        <v>49</v>
      </c>
      <c r="S94" s="1" t="s">
        <v>50</v>
      </c>
      <c r="T94" s="1" t="s">
        <v>50</v>
      </c>
      <c r="U94" s="1" t="s">
        <v>45</v>
      </c>
      <c r="V94" s="1" t="s">
        <v>45</v>
      </c>
      <c r="W94" s="1" t="s">
        <v>45</v>
      </c>
      <c r="X94" s="1" t="s">
        <v>45</v>
      </c>
      <c r="Y94" s="1" t="s">
        <v>45</v>
      </c>
      <c r="Z94" s="1">
        <v>0</v>
      </c>
      <c r="AA94" s="1" t="s">
        <v>45</v>
      </c>
      <c r="AB94" s="1" t="s">
        <v>45</v>
      </c>
      <c r="AC94" s="1" t="s">
        <v>45</v>
      </c>
      <c r="AD94" s="1" t="s">
        <v>45</v>
      </c>
      <c r="AE94" s="1" t="s">
        <v>45</v>
      </c>
      <c r="AF94" s="1" t="s">
        <v>51</v>
      </c>
      <c r="AG94" s="1" t="s">
        <v>45</v>
      </c>
      <c r="AH94" s="1" t="s">
        <v>45</v>
      </c>
      <c r="AI94" s="1" t="s">
        <v>45</v>
      </c>
      <c r="AJ94" s="1" t="s">
        <v>45</v>
      </c>
      <c r="AK94" s="1" t="s">
        <v>45</v>
      </c>
      <c r="AL94" s="1" t="s">
        <v>49</v>
      </c>
      <c r="AM94" s="1" t="s">
        <v>49</v>
      </c>
      <c r="AN94" s="1">
        <v>0</v>
      </c>
      <c r="AO94" s="1">
        <v>0</v>
      </c>
      <c r="AP94" s="1">
        <v>0</v>
      </c>
    </row>
    <row r="95" spans="1:42" x14ac:dyDescent="0.25">
      <c r="A95" s="1" t="s">
        <v>511</v>
      </c>
      <c r="B95" s="1" t="s">
        <v>512</v>
      </c>
      <c r="C95" s="1" t="s">
        <v>513</v>
      </c>
      <c r="D95" s="1" t="str">
        <f t="shared" si="9"/>
        <v>EUSTACIO SIRIO</v>
      </c>
      <c r="E95" s="1" t="str">
        <f t="shared" si="13"/>
        <v>PALTIN CASTILLO</v>
      </c>
      <c r="F95" s="1" t="s">
        <v>41</v>
      </c>
      <c r="G95" s="1" t="s">
        <v>42</v>
      </c>
      <c r="H95" s="1" t="s">
        <v>42</v>
      </c>
      <c r="I95" s="1" t="s">
        <v>43</v>
      </c>
      <c r="J95" s="1" t="s">
        <v>44</v>
      </c>
      <c r="K95" s="1" t="s">
        <v>45</v>
      </c>
      <c r="L95" s="1" t="s">
        <v>1170</v>
      </c>
      <c r="M95" s="1" t="s">
        <v>62</v>
      </c>
      <c r="N95" s="1">
        <v>3</v>
      </c>
      <c r="O95" s="1" t="s">
        <v>45</v>
      </c>
      <c r="P95" s="1" t="s">
        <v>45</v>
      </c>
      <c r="Q95" s="1" t="s">
        <v>514</v>
      </c>
      <c r="R95" s="1" t="s">
        <v>49</v>
      </c>
      <c r="S95" s="1" t="s">
        <v>50</v>
      </c>
      <c r="T95" s="1" t="s">
        <v>50</v>
      </c>
      <c r="U95" s="1" t="s">
        <v>45</v>
      </c>
      <c r="V95" s="1" t="s">
        <v>45</v>
      </c>
      <c r="W95" s="1" t="s">
        <v>45</v>
      </c>
      <c r="X95" s="1" t="s">
        <v>45</v>
      </c>
      <c r="Y95" s="1" t="s">
        <v>45</v>
      </c>
      <c r="Z95" s="1">
        <v>0</v>
      </c>
      <c r="AA95" s="1" t="s">
        <v>45</v>
      </c>
      <c r="AB95" s="1" t="s">
        <v>45</v>
      </c>
      <c r="AC95" s="1" t="s">
        <v>45</v>
      </c>
      <c r="AD95" s="1" t="s">
        <v>45</v>
      </c>
      <c r="AE95" s="1" t="s">
        <v>45</v>
      </c>
      <c r="AF95" s="1" t="s">
        <v>51</v>
      </c>
      <c r="AG95" s="1" t="s">
        <v>45</v>
      </c>
      <c r="AH95" s="1" t="s">
        <v>45</v>
      </c>
      <c r="AI95" s="1" t="s">
        <v>45</v>
      </c>
      <c r="AJ95" s="1" t="s">
        <v>45</v>
      </c>
      <c r="AK95" s="1" t="s">
        <v>45</v>
      </c>
      <c r="AL95" s="1" t="s">
        <v>49</v>
      </c>
      <c r="AM95" s="1" t="s">
        <v>49</v>
      </c>
      <c r="AN95" s="1">
        <v>0</v>
      </c>
      <c r="AO95" s="1">
        <v>0</v>
      </c>
      <c r="AP95" s="1">
        <v>0</v>
      </c>
    </row>
    <row r="96" spans="1:42" x14ac:dyDescent="0.25">
      <c r="A96" s="1" t="s">
        <v>515</v>
      </c>
      <c r="B96" s="1" t="s">
        <v>516</v>
      </c>
      <c r="C96" s="1" t="s">
        <v>517</v>
      </c>
      <c r="D96" s="1" t="str">
        <f>+C96</f>
        <v>EXPORTADORA BANANERA RIVID S A EXBANRIVID</v>
      </c>
      <c r="F96" s="1" t="s">
        <v>41</v>
      </c>
      <c r="G96" s="1" t="s">
        <v>42</v>
      </c>
      <c r="H96" s="1" t="s">
        <v>42</v>
      </c>
      <c r="I96" s="1" t="s">
        <v>43</v>
      </c>
      <c r="J96" s="1" t="s">
        <v>44</v>
      </c>
      <c r="K96" s="1" t="s">
        <v>518</v>
      </c>
      <c r="L96" s="1" t="s">
        <v>519</v>
      </c>
      <c r="M96" s="1" t="s">
        <v>47</v>
      </c>
      <c r="N96" s="1">
        <v>134</v>
      </c>
      <c r="O96" s="1" t="s">
        <v>45</v>
      </c>
      <c r="P96" s="1" t="s">
        <v>45</v>
      </c>
      <c r="Q96" s="1" t="s">
        <v>520</v>
      </c>
      <c r="R96" s="1" t="s">
        <v>49</v>
      </c>
      <c r="S96" s="1" t="s">
        <v>50</v>
      </c>
      <c r="T96" s="1" t="s">
        <v>50</v>
      </c>
      <c r="U96" s="1" t="s">
        <v>45</v>
      </c>
      <c r="V96" s="1" t="s">
        <v>45</v>
      </c>
      <c r="W96" s="1" t="s">
        <v>45</v>
      </c>
      <c r="X96" s="1" t="s">
        <v>45</v>
      </c>
      <c r="Y96" s="1" t="s">
        <v>45</v>
      </c>
      <c r="Z96" s="1">
        <v>0</v>
      </c>
      <c r="AA96" s="1" t="s">
        <v>45</v>
      </c>
      <c r="AB96" s="1" t="s">
        <v>45</v>
      </c>
      <c r="AC96" s="1" t="s">
        <v>45</v>
      </c>
      <c r="AD96" s="1" t="s">
        <v>45</v>
      </c>
      <c r="AE96" s="1" t="s">
        <v>45</v>
      </c>
      <c r="AF96" s="1" t="s">
        <v>51</v>
      </c>
      <c r="AG96" s="1" t="s">
        <v>45</v>
      </c>
      <c r="AH96" s="1" t="s">
        <v>45</v>
      </c>
      <c r="AI96" s="1" t="s">
        <v>45</v>
      </c>
      <c r="AJ96" s="1" t="s">
        <v>45</v>
      </c>
      <c r="AK96" s="1" t="s">
        <v>45</v>
      </c>
      <c r="AL96" s="1" t="s">
        <v>49</v>
      </c>
      <c r="AM96" s="1" t="s">
        <v>49</v>
      </c>
      <c r="AN96" s="1">
        <v>0</v>
      </c>
      <c r="AO96" s="1">
        <v>0</v>
      </c>
      <c r="AP96" s="1">
        <v>0</v>
      </c>
    </row>
    <row r="97" spans="1:42" x14ac:dyDescent="0.25">
      <c r="A97" s="1" t="s">
        <v>521</v>
      </c>
      <c r="B97" s="1" t="s">
        <v>522</v>
      </c>
      <c r="C97" s="1" t="s">
        <v>523</v>
      </c>
      <c r="D97" s="1" t="str">
        <f>+C97</f>
        <v>EXPORTJAIME S.A.</v>
      </c>
      <c r="F97" s="1" t="s">
        <v>41</v>
      </c>
      <c r="G97" s="1" t="s">
        <v>55</v>
      </c>
      <c r="H97" s="1" t="s">
        <v>42</v>
      </c>
      <c r="I97" s="1" t="s">
        <v>43</v>
      </c>
      <c r="J97" s="1" t="s">
        <v>44</v>
      </c>
      <c r="K97" s="1" t="s">
        <v>45</v>
      </c>
      <c r="L97" s="1" t="s">
        <v>524</v>
      </c>
      <c r="M97" s="1" t="s">
        <v>92</v>
      </c>
      <c r="N97" s="1">
        <v>78</v>
      </c>
      <c r="O97" s="1" t="s">
        <v>45</v>
      </c>
      <c r="P97" s="1" t="s">
        <v>45</v>
      </c>
      <c r="Q97" s="1" t="s">
        <v>525</v>
      </c>
      <c r="R97" s="1" t="s">
        <v>49</v>
      </c>
      <c r="S97" s="1" t="s">
        <v>50</v>
      </c>
      <c r="T97" s="1" t="s">
        <v>50</v>
      </c>
      <c r="U97" s="1" t="s">
        <v>45</v>
      </c>
      <c r="V97" s="1" t="s">
        <v>45</v>
      </c>
      <c r="W97" s="1" t="s">
        <v>45</v>
      </c>
      <c r="X97" s="1" t="s">
        <v>45</v>
      </c>
      <c r="Y97" s="1" t="s">
        <v>45</v>
      </c>
      <c r="Z97" s="1">
        <v>0</v>
      </c>
      <c r="AA97" s="1" t="s">
        <v>45</v>
      </c>
      <c r="AB97" s="1" t="s">
        <v>45</v>
      </c>
      <c r="AC97" s="1" t="s">
        <v>45</v>
      </c>
      <c r="AD97" s="1" t="s">
        <v>45</v>
      </c>
      <c r="AE97" s="1" t="s">
        <v>45</v>
      </c>
      <c r="AF97" s="1" t="s">
        <v>51</v>
      </c>
      <c r="AG97" s="1" t="s">
        <v>45</v>
      </c>
      <c r="AH97" s="1" t="s">
        <v>45</v>
      </c>
      <c r="AI97" s="1" t="s">
        <v>45</v>
      </c>
      <c r="AJ97" s="1" t="s">
        <v>45</v>
      </c>
      <c r="AK97" s="1" t="s">
        <v>45</v>
      </c>
      <c r="AL97" s="1" t="s">
        <v>49</v>
      </c>
      <c r="AM97" s="1" t="s">
        <v>49</v>
      </c>
      <c r="AN97" s="1">
        <v>0</v>
      </c>
      <c r="AO97" s="1">
        <v>0</v>
      </c>
      <c r="AP97" s="1">
        <v>0</v>
      </c>
    </row>
    <row r="98" spans="1:42" x14ac:dyDescent="0.25">
      <c r="A98" s="1" t="s">
        <v>526</v>
      </c>
      <c r="B98" s="1" t="s">
        <v>527</v>
      </c>
      <c r="C98" s="1" t="s">
        <v>528</v>
      </c>
      <c r="D98" s="1" t="str">
        <f t="shared" si="9"/>
        <v>FABIOLA SABRINA</v>
      </c>
      <c r="E98" s="1" t="str">
        <f t="shared" ref="E98:E103" si="14">RIGHT(C98, LEN(C98) - FIND(" ", C98, FIND(" ", C98, FIND(" ", C98) + 0) + 1))</f>
        <v>BELDUMA VALLE</v>
      </c>
      <c r="F98" s="1" t="s">
        <v>41</v>
      </c>
      <c r="G98" s="1" t="s">
        <v>42</v>
      </c>
      <c r="H98" s="1" t="s">
        <v>42</v>
      </c>
      <c r="I98" s="1" t="s">
        <v>43</v>
      </c>
      <c r="J98" s="1" t="s">
        <v>44</v>
      </c>
      <c r="K98" s="1" t="s">
        <v>45</v>
      </c>
      <c r="L98" s="1" t="s">
        <v>1171</v>
      </c>
      <c r="M98" s="1" t="s">
        <v>47</v>
      </c>
      <c r="N98" s="1">
        <v>134</v>
      </c>
      <c r="O98" s="1" t="s">
        <v>45</v>
      </c>
      <c r="P98" s="1" t="s">
        <v>45</v>
      </c>
      <c r="Q98" s="1" t="s">
        <v>529</v>
      </c>
      <c r="R98" s="1" t="s">
        <v>49</v>
      </c>
      <c r="S98" s="1" t="s">
        <v>50</v>
      </c>
      <c r="T98" s="1" t="s">
        <v>50</v>
      </c>
      <c r="U98" s="1" t="s">
        <v>45</v>
      </c>
      <c r="V98" s="1" t="s">
        <v>45</v>
      </c>
      <c r="W98" s="1" t="s">
        <v>45</v>
      </c>
      <c r="X98" s="1" t="s">
        <v>45</v>
      </c>
      <c r="Y98" s="1" t="s">
        <v>45</v>
      </c>
      <c r="Z98" s="1">
        <v>0</v>
      </c>
      <c r="AA98" s="1" t="s">
        <v>45</v>
      </c>
      <c r="AB98" s="1" t="s">
        <v>45</v>
      </c>
      <c r="AC98" s="1" t="s">
        <v>45</v>
      </c>
      <c r="AD98" s="1" t="s">
        <v>45</v>
      </c>
      <c r="AE98" s="1" t="s">
        <v>45</v>
      </c>
      <c r="AF98" s="1" t="s">
        <v>51</v>
      </c>
      <c r="AG98" s="1" t="s">
        <v>45</v>
      </c>
      <c r="AH98" s="1" t="s">
        <v>45</v>
      </c>
      <c r="AI98" s="1" t="s">
        <v>45</v>
      </c>
      <c r="AJ98" s="1" t="s">
        <v>45</v>
      </c>
      <c r="AK98" s="1" t="s">
        <v>530</v>
      </c>
      <c r="AL98" s="1" t="s">
        <v>49</v>
      </c>
      <c r="AM98" s="1" t="s">
        <v>49</v>
      </c>
      <c r="AN98" s="1">
        <v>0</v>
      </c>
      <c r="AO98" s="1">
        <v>0</v>
      </c>
      <c r="AP98" s="1">
        <v>0</v>
      </c>
    </row>
    <row r="99" spans="1:42" x14ac:dyDescent="0.25">
      <c r="A99" s="1" t="s">
        <v>531</v>
      </c>
      <c r="B99" s="1" t="s">
        <v>532</v>
      </c>
      <c r="C99" s="1" t="s">
        <v>533</v>
      </c>
      <c r="D99" s="1" t="str">
        <f t="shared" si="9"/>
        <v>GALLARDO AGUILAR</v>
      </c>
      <c r="E99" s="1" t="str">
        <f t="shared" si="14"/>
        <v>EMANUEL ANDRES</v>
      </c>
      <c r="F99" s="1" t="s">
        <v>41</v>
      </c>
      <c r="G99" s="1" t="s">
        <v>42</v>
      </c>
      <c r="H99" s="1" t="s">
        <v>42</v>
      </c>
      <c r="I99" s="1" t="s">
        <v>43</v>
      </c>
      <c r="J99" s="1" t="s">
        <v>44</v>
      </c>
      <c r="K99" s="1" t="s">
        <v>534</v>
      </c>
      <c r="L99" s="1" t="s">
        <v>535</v>
      </c>
      <c r="M99" s="1" t="s">
        <v>62</v>
      </c>
      <c r="N99" s="1">
        <v>3</v>
      </c>
      <c r="O99" s="1" t="s">
        <v>45</v>
      </c>
      <c r="P99" s="1" t="s">
        <v>45</v>
      </c>
      <c r="Q99" s="1" t="s">
        <v>536</v>
      </c>
      <c r="R99" s="1" t="s">
        <v>49</v>
      </c>
      <c r="S99" s="1" t="s">
        <v>50</v>
      </c>
      <c r="T99" s="1" t="s">
        <v>50</v>
      </c>
      <c r="U99" s="1" t="s">
        <v>45</v>
      </c>
      <c r="V99" s="1" t="s">
        <v>45</v>
      </c>
      <c r="W99" s="1" t="s">
        <v>45</v>
      </c>
      <c r="X99" s="1" t="s">
        <v>45</v>
      </c>
      <c r="Y99" s="1" t="s">
        <v>45</v>
      </c>
      <c r="Z99" s="1">
        <v>0</v>
      </c>
      <c r="AA99" s="1" t="s">
        <v>45</v>
      </c>
      <c r="AB99" s="1" t="s">
        <v>45</v>
      </c>
      <c r="AC99" s="1" t="s">
        <v>45</v>
      </c>
      <c r="AD99" s="1" t="s">
        <v>45</v>
      </c>
      <c r="AE99" s="1" t="s">
        <v>45</v>
      </c>
      <c r="AF99" s="1" t="s">
        <v>51</v>
      </c>
      <c r="AG99" s="1" t="s">
        <v>45</v>
      </c>
      <c r="AH99" s="1" t="s">
        <v>45</v>
      </c>
      <c r="AI99" s="1" t="s">
        <v>45</v>
      </c>
      <c r="AJ99" s="1" t="s">
        <v>45</v>
      </c>
      <c r="AK99" s="1" t="s">
        <v>537</v>
      </c>
      <c r="AL99" s="1" t="s">
        <v>49</v>
      </c>
      <c r="AM99" s="1" t="s">
        <v>49</v>
      </c>
      <c r="AN99" s="1">
        <v>0</v>
      </c>
      <c r="AO99" s="1">
        <v>0</v>
      </c>
      <c r="AP99" s="1">
        <v>0</v>
      </c>
    </row>
    <row r="100" spans="1:42" x14ac:dyDescent="0.25">
      <c r="A100" s="1" t="s">
        <v>538</v>
      </c>
      <c r="B100" s="1" t="s">
        <v>539</v>
      </c>
      <c r="C100" s="1" t="s">
        <v>540</v>
      </c>
      <c r="D100" s="1" t="str">
        <f t="shared" si="9"/>
        <v>GALLARDO TINOCO</v>
      </c>
      <c r="E100" s="1" t="str">
        <f t="shared" si="14"/>
        <v>JUAN LUIS</v>
      </c>
      <c r="F100" s="1" t="s">
        <v>41</v>
      </c>
      <c r="G100" s="1" t="s">
        <v>42</v>
      </c>
      <c r="H100" s="1" t="s">
        <v>42</v>
      </c>
      <c r="I100" s="1" t="s">
        <v>43</v>
      </c>
      <c r="J100" s="1" t="s">
        <v>44</v>
      </c>
      <c r="K100" s="1" t="s">
        <v>45</v>
      </c>
      <c r="L100" s="1" t="s">
        <v>541</v>
      </c>
      <c r="M100" s="1" t="s">
        <v>47</v>
      </c>
      <c r="N100" s="1">
        <v>134</v>
      </c>
      <c r="O100" s="1" t="s">
        <v>45</v>
      </c>
      <c r="P100" s="1" t="s">
        <v>45</v>
      </c>
      <c r="Q100" s="1" t="s">
        <v>542</v>
      </c>
      <c r="R100" s="1" t="s">
        <v>49</v>
      </c>
      <c r="S100" s="1" t="s">
        <v>50</v>
      </c>
      <c r="T100" s="1" t="s">
        <v>50</v>
      </c>
      <c r="U100" s="1" t="s">
        <v>45</v>
      </c>
      <c r="V100" s="1" t="s">
        <v>45</v>
      </c>
      <c r="W100" s="1" t="s">
        <v>45</v>
      </c>
      <c r="X100" s="1" t="s">
        <v>45</v>
      </c>
      <c r="Y100" s="1" t="s">
        <v>45</v>
      </c>
      <c r="Z100" s="1">
        <v>0</v>
      </c>
      <c r="AA100" s="1" t="s">
        <v>45</v>
      </c>
      <c r="AB100" s="1" t="s">
        <v>45</v>
      </c>
      <c r="AC100" s="1" t="s">
        <v>45</v>
      </c>
      <c r="AD100" s="1" t="s">
        <v>45</v>
      </c>
      <c r="AE100" s="1" t="s">
        <v>45</v>
      </c>
      <c r="AF100" s="1" t="s">
        <v>51</v>
      </c>
      <c r="AG100" s="1" t="s">
        <v>45</v>
      </c>
      <c r="AH100" s="1" t="s">
        <v>45</v>
      </c>
      <c r="AI100" s="1" t="s">
        <v>45</v>
      </c>
      <c r="AJ100" s="1" t="s">
        <v>45</v>
      </c>
      <c r="AK100" s="1" t="s">
        <v>45</v>
      </c>
      <c r="AL100" s="1" t="s">
        <v>49</v>
      </c>
      <c r="AM100" s="1" t="s">
        <v>49</v>
      </c>
      <c r="AN100" s="1">
        <v>0</v>
      </c>
      <c r="AO100" s="1">
        <v>0</v>
      </c>
      <c r="AP100" s="1">
        <v>0</v>
      </c>
    </row>
    <row r="101" spans="1:42" x14ac:dyDescent="0.25">
      <c r="A101" s="1" t="s">
        <v>543</v>
      </c>
      <c r="B101" s="1" t="s">
        <v>544</v>
      </c>
      <c r="C101" s="1" t="s">
        <v>545</v>
      </c>
      <c r="D101" s="1" t="str">
        <f t="shared" si="9"/>
        <v>GALLEGOS CHAMBA</v>
      </c>
      <c r="E101" s="1" t="str">
        <f t="shared" si="14"/>
        <v>ARMANDO FABRICIO</v>
      </c>
      <c r="F101" s="1" t="s">
        <v>41</v>
      </c>
      <c r="G101" s="1" t="s">
        <v>42</v>
      </c>
      <c r="H101" s="1" t="s">
        <v>42</v>
      </c>
      <c r="I101" s="1" t="s">
        <v>43</v>
      </c>
      <c r="J101" s="1" t="s">
        <v>44</v>
      </c>
      <c r="K101" s="1" t="s">
        <v>45</v>
      </c>
      <c r="L101" s="1" t="s">
        <v>546</v>
      </c>
      <c r="M101" s="1" t="s">
        <v>69</v>
      </c>
      <c r="N101" s="1">
        <v>58</v>
      </c>
      <c r="O101" s="1" t="s">
        <v>45</v>
      </c>
      <c r="P101" s="1" t="s">
        <v>45</v>
      </c>
      <c r="Q101" s="1" t="s">
        <v>547</v>
      </c>
      <c r="R101" s="1" t="s">
        <v>49</v>
      </c>
      <c r="S101" s="1" t="s">
        <v>50</v>
      </c>
      <c r="T101" s="1" t="s">
        <v>50</v>
      </c>
      <c r="U101" s="1" t="s">
        <v>45</v>
      </c>
      <c r="V101" s="1" t="s">
        <v>45</v>
      </c>
      <c r="W101" s="1" t="s">
        <v>45</v>
      </c>
      <c r="X101" s="1" t="s">
        <v>45</v>
      </c>
      <c r="Y101" s="1" t="s">
        <v>45</v>
      </c>
      <c r="Z101" s="1">
        <v>0</v>
      </c>
      <c r="AA101" s="1" t="s">
        <v>45</v>
      </c>
      <c r="AB101" s="1" t="s">
        <v>45</v>
      </c>
      <c r="AC101" s="1" t="s">
        <v>45</v>
      </c>
      <c r="AD101" s="1" t="s">
        <v>45</v>
      </c>
      <c r="AE101" s="1" t="s">
        <v>45</v>
      </c>
      <c r="AF101" s="1" t="s">
        <v>51</v>
      </c>
      <c r="AG101" s="1" t="s">
        <v>45</v>
      </c>
      <c r="AH101" s="1" t="s">
        <v>45</v>
      </c>
      <c r="AI101" s="1" t="s">
        <v>45</v>
      </c>
      <c r="AJ101" s="1" t="s">
        <v>45</v>
      </c>
      <c r="AK101" s="1" t="s">
        <v>45</v>
      </c>
      <c r="AL101" s="1" t="s">
        <v>49</v>
      </c>
      <c r="AM101" s="1" t="s">
        <v>49</v>
      </c>
      <c r="AN101" s="1">
        <v>0</v>
      </c>
      <c r="AO101" s="1">
        <v>0</v>
      </c>
      <c r="AP101" s="1">
        <v>0</v>
      </c>
    </row>
    <row r="102" spans="1:42" x14ac:dyDescent="0.25">
      <c r="A102" s="1" t="s">
        <v>548</v>
      </c>
      <c r="B102" s="1" t="s">
        <v>549</v>
      </c>
      <c r="C102" s="1" t="s">
        <v>550</v>
      </c>
      <c r="D102" s="1" t="str">
        <f t="shared" si="9"/>
        <v>GALLEGOS JULIA</v>
      </c>
      <c r="E102" s="1" t="str">
        <f t="shared" si="14"/>
        <v>ENITH</v>
      </c>
      <c r="F102" s="1" t="s">
        <v>41</v>
      </c>
      <c r="G102" s="1" t="s">
        <v>42</v>
      </c>
      <c r="H102" s="1" t="s">
        <v>42</v>
      </c>
      <c r="I102" s="1" t="s">
        <v>43</v>
      </c>
      <c r="J102" s="1" t="s">
        <v>44</v>
      </c>
      <c r="K102" s="1" t="s">
        <v>45</v>
      </c>
      <c r="L102" s="1" t="s">
        <v>551</v>
      </c>
      <c r="M102" s="1" t="s">
        <v>69</v>
      </c>
      <c r="N102" s="1">
        <v>58</v>
      </c>
      <c r="O102" s="1" t="s">
        <v>45</v>
      </c>
      <c r="P102" s="1" t="s">
        <v>45</v>
      </c>
      <c r="Q102" s="1" t="s">
        <v>552</v>
      </c>
      <c r="R102" s="1" t="s">
        <v>49</v>
      </c>
      <c r="S102" s="1" t="s">
        <v>50</v>
      </c>
      <c r="T102" s="1" t="s">
        <v>50</v>
      </c>
      <c r="U102" s="1" t="s">
        <v>45</v>
      </c>
      <c r="V102" s="1" t="s">
        <v>45</v>
      </c>
      <c r="W102" s="1" t="s">
        <v>45</v>
      </c>
      <c r="X102" s="1" t="s">
        <v>45</v>
      </c>
      <c r="Y102" s="1" t="s">
        <v>45</v>
      </c>
      <c r="Z102" s="1">
        <v>0</v>
      </c>
      <c r="AA102" s="1" t="s">
        <v>45</v>
      </c>
      <c r="AB102" s="1" t="s">
        <v>45</v>
      </c>
      <c r="AC102" s="1" t="s">
        <v>45</v>
      </c>
      <c r="AD102" s="1" t="s">
        <v>45</v>
      </c>
      <c r="AE102" s="1" t="s">
        <v>45</v>
      </c>
      <c r="AF102" s="1" t="s">
        <v>51</v>
      </c>
      <c r="AG102" s="1" t="s">
        <v>45</v>
      </c>
      <c r="AH102" s="1" t="s">
        <v>45</v>
      </c>
      <c r="AI102" s="1" t="s">
        <v>45</v>
      </c>
      <c r="AJ102" s="1" t="s">
        <v>45</v>
      </c>
      <c r="AK102" s="1" t="s">
        <v>553</v>
      </c>
      <c r="AL102" s="1" t="s">
        <v>49</v>
      </c>
      <c r="AM102" s="1" t="s">
        <v>49</v>
      </c>
      <c r="AN102" s="1">
        <v>0</v>
      </c>
      <c r="AO102" s="1">
        <v>0</v>
      </c>
      <c r="AP102" s="1">
        <v>0</v>
      </c>
    </row>
    <row r="103" spans="1:42" x14ac:dyDescent="0.25">
      <c r="A103" s="1" t="s">
        <v>554</v>
      </c>
      <c r="B103" s="1" t="s">
        <v>555</v>
      </c>
      <c r="C103" s="1" t="s">
        <v>556</v>
      </c>
      <c r="D103" s="1" t="str">
        <f t="shared" si="9"/>
        <v>GAONA CORDOVA</v>
      </c>
      <c r="E103" s="1" t="str">
        <f t="shared" si="14"/>
        <v>SOFIA EUNICE</v>
      </c>
      <c r="F103" s="1" t="s">
        <v>41</v>
      </c>
      <c r="G103" s="1" t="s">
        <v>42</v>
      </c>
      <c r="H103" s="1" t="s">
        <v>42</v>
      </c>
      <c r="I103" s="1" t="s">
        <v>43</v>
      </c>
      <c r="J103" s="1" t="s">
        <v>44</v>
      </c>
      <c r="K103" s="1" t="s">
        <v>45</v>
      </c>
      <c r="L103" s="1" t="s">
        <v>557</v>
      </c>
      <c r="M103" s="1" t="s">
        <v>47</v>
      </c>
      <c r="N103" s="1">
        <v>134</v>
      </c>
      <c r="O103" s="1" t="s">
        <v>45</v>
      </c>
      <c r="P103" s="1" t="s">
        <v>45</v>
      </c>
      <c r="Q103" s="1" t="s">
        <v>45</v>
      </c>
      <c r="R103" s="1" t="s">
        <v>49</v>
      </c>
      <c r="S103" s="1" t="s">
        <v>50</v>
      </c>
      <c r="T103" s="1" t="s">
        <v>50</v>
      </c>
      <c r="U103" s="1" t="s">
        <v>45</v>
      </c>
      <c r="V103" s="1" t="s">
        <v>45</v>
      </c>
      <c r="W103" s="1" t="s">
        <v>45</v>
      </c>
      <c r="X103" s="1" t="s">
        <v>45</v>
      </c>
      <c r="Y103" s="1" t="s">
        <v>45</v>
      </c>
      <c r="Z103" s="1">
        <v>0</v>
      </c>
      <c r="AA103" s="1" t="s">
        <v>45</v>
      </c>
      <c r="AB103" s="1" t="s">
        <v>45</v>
      </c>
      <c r="AC103" s="1" t="s">
        <v>45</v>
      </c>
      <c r="AD103" s="1" t="s">
        <v>45</v>
      </c>
      <c r="AE103" s="1" t="s">
        <v>45</v>
      </c>
      <c r="AF103" s="1" t="s">
        <v>51</v>
      </c>
      <c r="AG103" s="1" t="s">
        <v>45</v>
      </c>
      <c r="AH103" s="1" t="s">
        <v>45</v>
      </c>
      <c r="AI103" s="1" t="s">
        <v>45</v>
      </c>
      <c r="AJ103" s="1" t="s">
        <v>45</v>
      </c>
      <c r="AK103" s="1" t="s">
        <v>558</v>
      </c>
      <c r="AL103" s="1" t="s">
        <v>49</v>
      </c>
      <c r="AM103" s="1" t="s">
        <v>49</v>
      </c>
      <c r="AN103" s="1">
        <v>0</v>
      </c>
      <c r="AO103" s="1">
        <v>0</v>
      </c>
      <c r="AP103" s="1">
        <v>0</v>
      </c>
    </row>
    <row r="104" spans="1:42" x14ac:dyDescent="0.25">
      <c r="A104" s="1" t="s">
        <v>559</v>
      </c>
      <c r="B104" s="1" t="s">
        <v>560</v>
      </c>
      <c r="C104" s="1" t="s">
        <v>561</v>
      </c>
      <c r="D104" s="1" t="str">
        <f>+C104</f>
        <v>GARCIA ROMERO SERGIO FERNANDO IGNACIO</v>
      </c>
      <c r="F104" s="1" t="s">
        <v>41</v>
      </c>
      <c r="G104" s="1" t="s">
        <v>42</v>
      </c>
      <c r="H104" s="1" t="s">
        <v>42</v>
      </c>
      <c r="I104" s="1" t="s">
        <v>43</v>
      </c>
      <c r="J104" s="1" t="s">
        <v>44</v>
      </c>
      <c r="K104" s="1" t="s">
        <v>45</v>
      </c>
      <c r="L104" s="1" t="s">
        <v>562</v>
      </c>
      <c r="M104" s="1" t="s">
        <v>69</v>
      </c>
      <c r="N104" s="1">
        <v>58</v>
      </c>
      <c r="O104" s="1" t="s">
        <v>45</v>
      </c>
      <c r="P104" s="1" t="s">
        <v>45</v>
      </c>
      <c r="Q104" s="1" t="s">
        <v>563</v>
      </c>
      <c r="R104" s="1" t="s">
        <v>49</v>
      </c>
      <c r="S104" s="1" t="s">
        <v>50</v>
      </c>
      <c r="T104" s="1" t="s">
        <v>50</v>
      </c>
      <c r="U104" s="1" t="s">
        <v>45</v>
      </c>
      <c r="V104" s="1" t="s">
        <v>45</v>
      </c>
      <c r="W104" s="1" t="s">
        <v>45</v>
      </c>
      <c r="X104" s="1" t="s">
        <v>45</v>
      </c>
      <c r="Y104" s="1" t="s">
        <v>45</v>
      </c>
      <c r="Z104" s="1">
        <v>0</v>
      </c>
      <c r="AA104" s="1" t="s">
        <v>45</v>
      </c>
      <c r="AB104" s="1" t="s">
        <v>45</v>
      </c>
      <c r="AC104" s="1" t="s">
        <v>45</v>
      </c>
      <c r="AD104" s="1" t="s">
        <v>45</v>
      </c>
      <c r="AE104" s="1" t="s">
        <v>45</v>
      </c>
      <c r="AF104" s="1" t="s">
        <v>51</v>
      </c>
      <c r="AG104" s="1" t="s">
        <v>45</v>
      </c>
      <c r="AH104" s="1" t="s">
        <v>45</v>
      </c>
      <c r="AI104" s="1" t="s">
        <v>45</v>
      </c>
      <c r="AJ104" s="1" t="s">
        <v>45</v>
      </c>
      <c r="AK104" s="1" t="s">
        <v>564</v>
      </c>
      <c r="AL104" s="1" t="s">
        <v>49</v>
      </c>
      <c r="AM104" s="1" t="s">
        <v>49</v>
      </c>
      <c r="AN104" s="1">
        <v>0</v>
      </c>
      <c r="AO104" s="1">
        <v>0</v>
      </c>
      <c r="AP104" s="1">
        <v>0</v>
      </c>
    </row>
    <row r="105" spans="1:42" x14ac:dyDescent="0.25">
      <c r="A105" s="1" t="s">
        <v>565</v>
      </c>
      <c r="B105" s="1" t="s">
        <v>566</v>
      </c>
      <c r="C105" s="1" t="s">
        <v>567</v>
      </c>
      <c r="D105" s="1" t="str">
        <f t="shared" si="9"/>
        <v>GOMEZ PELAEZ</v>
      </c>
      <c r="E105" s="1" t="str">
        <f t="shared" ref="E105:E107" si="15">RIGHT(C105, LEN(C105) - FIND(" ", C105, FIND(" ", C105, FIND(" ", C105) + 0) + 1))</f>
        <v>JULIO PATRICIO</v>
      </c>
      <c r="F105" s="1" t="s">
        <v>41</v>
      </c>
      <c r="G105" s="1" t="s">
        <v>42</v>
      </c>
      <c r="H105" s="1" t="s">
        <v>42</v>
      </c>
      <c r="I105" s="1" t="s">
        <v>43</v>
      </c>
      <c r="J105" s="1" t="s">
        <v>44</v>
      </c>
      <c r="K105" s="1" t="s">
        <v>45</v>
      </c>
      <c r="L105" s="1" t="s">
        <v>568</v>
      </c>
      <c r="M105" s="1" t="s">
        <v>69</v>
      </c>
      <c r="N105" s="1">
        <v>58</v>
      </c>
      <c r="O105" s="1" t="s">
        <v>45</v>
      </c>
      <c r="P105" s="1" t="s">
        <v>45</v>
      </c>
      <c r="Q105" s="1" t="s">
        <v>569</v>
      </c>
      <c r="R105" s="1" t="s">
        <v>49</v>
      </c>
      <c r="S105" s="1" t="s">
        <v>50</v>
      </c>
      <c r="T105" s="1" t="s">
        <v>50</v>
      </c>
      <c r="U105" s="1" t="s">
        <v>45</v>
      </c>
      <c r="V105" s="1" t="s">
        <v>45</v>
      </c>
      <c r="W105" s="1" t="s">
        <v>45</v>
      </c>
      <c r="X105" s="1" t="s">
        <v>45</v>
      </c>
      <c r="Y105" s="1" t="s">
        <v>45</v>
      </c>
      <c r="Z105" s="1">
        <v>0</v>
      </c>
      <c r="AA105" s="1" t="s">
        <v>45</v>
      </c>
      <c r="AB105" s="1" t="s">
        <v>45</v>
      </c>
      <c r="AC105" s="1" t="s">
        <v>45</v>
      </c>
      <c r="AD105" s="1" t="s">
        <v>45</v>
      </c>
      <c r="AE105" s="1" t="s">
        <v>45</v>
      </c>
      <c r="AF105" s="1" t="s">
        <v>51</v>
      </c>
      <c r="AG105" s="1" t="s">
        <v>45</v>
      </c>
      <c r="AH105" s="1" t="s">
        <v>45</v>
      </c>
      <c r="AI105" s="1" t="s">
        <v>45</v>
      </c>
      <c r="AJ105" s="1" t="s">
        <v>45</v>
      </c>
      <c r="AK105" s="1" t="s">
        <v>45</v>
      </c>
      <c r="AL105" s="1" t="s">
        <v>49</v>
      </c>
      <c r="AM105" s="1" t="s">
        <v>49</v>
      </c>
      <c r="AN105" s="1">
        <v>0</v>
      </c>
      <c r="AO105" s="1">
        <v>0</v>
      </c>
      <c r="AP105" s="1">
        <v>0</v>
      </c>
    </row>
    <row r="106" spans="1:42" x14ac:dyDescent="0.25">
      <c r="A106" s="1" t="s">
        <v>570</v>
      </c>
      <c r="B106" s="1" t="s">
        <v>571</v>
      </c>
      <c r="C106" s="1" t="s">
        <v>572</v>
      </c>
      <c r="D106" s="1" t="str">
        <f t="shared" si="9"/>
        <v>GONZALEZ ARMIJOS</v>
      </c>
      <c r="E106" s="1" t="str">
        <f t="shared" si="15"/>
        <v>RAMIRO VINICIO</v>
      </c>
      <c r="F106" s="1" t="s">
        <v>41</v>
      </c>
      <c r="G106" s="1" t="s">
        <v>42</v>
      </c>
      <c r="H106" s="1" t="s">
        <v>42</v>
      </c>
      <c r="I106" s="1" t="s">
        <v>43</v>
      </c>
      <c r="J106" s="1" t="s">
        <v>44</v>
      </c>
      <c r="K106" s="1" t="s">
        <v>45</v>
      </c>
      <c r="L106" s="1" t="s">
        <v>573</v>
      </c>
      <c r="M106" s="1" t="s">
        <v>69</v>
      </c>
      <c r="N106" s="1">
        <v>58</v>
      </c>
      <c r="O106" s="1" t="s">
        <v>45</v>
      </c>
      <c r="P106" s="1" t="s">
        <v>45</v>
      </c>
      <c r="Q106" s="1" t="s">
        <v>45</v>
      </c>
      <c r="R106" s="1" t="s">
        <v>49</v>
      </c>
      <c r="S106" s="1" t="s">
        <v>50</v>
      </c>
      <c r="T106" s="1" t="s">
        <v>50</v>
      </c>
      <c r="U106" s="1" t="s">
        <v>45</v>
      </c>
      <c r="V106" s="1" t="s">
        <v>45</v>
      </c>
      <c r="W106" s="1" t="s">
        <v>45</v>
      </c>
      <c r="X106" s="1" t="s">
        <v>45</v>
      </c>
      <c r="Y106" s="1" t="s">
        <v>45</v>
      </c>
      <c r="Z106" s="1">
        <v>0</v>
      </c>
      <c r="AA106" s="1" t="s">
        <v>45</v>
      </c>
      <c r="AB106" s="1" t="s">
        <v>45</v>
      </c>
      <c r="AC106" s="1" t="s">
        <v>45</v>
      </c>
      <c r="AD106" s="1" t="s">
        <v>45</v>
      </c>
      <c r="AE106" s="1" t="s">
        <v>45</v>
      </c>
      <c r="AF106" s="1" t="s">
        <v>51</v>
      </c>
      <c r="AG106" s="1" t="s">
        <v>45</v>
      </c>
      <c r="AH106" s="1" t="s">
        <v>45</v>
      </c>
      <c r="AI106" s="1" t="s">
        <v>45</v>
      </c>
      <c r="AJ106" s="1" t="s">
        <v>45</v>
      </c>
      <c r="AK106" s="1" t="s">
        <v>45</v>
      </c>
      <c r="AL106" s="1" t="s">
        <v>49</v>
      </c>
      <c r="AM106" s="1" t="s">
        <v>49</v>
      </c>
      <c r="AN106" s="1">
        <v>0</v>
      </c>
      <c r="AO106" s="1">
        <v>0</v>
      </c>
      <c r="AP106" s="1">
        <v>0</v>
      </c>
    </row>
    <row r="107" spans="1:42" x14ac:dyDescent="0.25">
      <c r="A107" s="1" t="s">
        <v>574</v>
      </c>
      <c r="B107" s="1" t="s">
        <v>575</v>
      </c>
      <c r="C107" s="1" t="s">
        <v>576</v>
      </c>
      <c r="D107" s="1" t="str">
        <f t="shared" si="9"/>
        <v>GONZALEZ ERREYES</v>
      </c>
      <c r="E107" s="1" t="str">
        <f t="shared" si="15"/>
        <v>ROQUE EUDOFILIO</v>
      </c>
      <c r="F107" s="1" t="s">
        <v>41</v>
      </c>
      <c r="G107" s="1" t="s">
        <v>42</v>
      </c>
      <c r="H107" s="1" t="s">
        <v>42</v>
      </c>
      <c r="I107" s="1" t="s">
        <v>43</v>
      </c>
      <c r="J107" s="1" t="s">
        <v>44</v>
      </c>
      <c r="K107" s="1" t="s">
        <v>45</v>
      </c>
      <c r="L107" s="1" t="s">
        <v>577</v>
      </c>
      <c r="M107" s="1" t="s">
        <v>69</v>
      </c>
      <c r="N107" s="1">
        <v>58</v>
      </c>
      <c r="O107" s="1" t="s">
        <v>45</v>
      </c>
      <c r="P107" s="1" t="s">
        <v>45</v>
      </c>
      <c r="Q107" s="1" t="s">
        <v>578</v>
      </c>
      <c r="R107" s="1" t="s">
        <v>49</v>
      </c>
      <c r="S107" s="1" t="s">
        <v>50</v>
      </c>
      <c r="T107" s="1" t="s">
        <v>50</v>
      </c>
      <c r="U107" s="1" t="s">
        <v>45</v>
      </c>
      <c r="V107" s="1" t="s">
        <v>45</v>
      </c>
      <c r="W107" s="1" t="s">
        <v>45</v>
      </c>
      <c r="X107" s="1" t="s">
        <v>45</v>
      </c>
      <c r="Y107" s="1" t="s">
        <v>45</v>
      </c>
      <c r="Z107" s="1">
        <v>0</v>
      </c>
      <c r="AA107" s="1" t="s">
        <v>45</v>
      </c>
      <c r="AB107" s="1" t="s">
        <v>45</v>
      </c>
      <c r="AC107" s="1" t="s">
        <v>45</v>
      </c>
      <c r="AD107" s="1" t="s">
        <v>45</v>
      </c>
      <c r="AE107" s="1" t="s">
        <v>45</v>
      </c>
      <c r="AF107" s="1" t="s">
        <v>51</v>
      </c>
      <c r="AG107" s="1" t="s">
        <v>45</v>
      </c>
      <c r="AH107" s="1" t="s">
        <v>45</v>
      </c>
      <c r="AI107" s="1" t="s">
        <v>45</v>
      </c>
      <c r="AJ107" s="1" t="s">
        <v>45</v>
      </c>
      <c r="AK107" s="1" t="s">
        <v>45</v>
      </c>
      <c r="AL107" s="1" t="s">
        <v>49</v>
      </c>
      <c r="AM107" s="1" t="s">
        <v>49</v>
      </c>
      <c r="AN107" s="1">
        <v>0</v>
      </c>
      <c r="AO107" s="1">
        <v>0</v>
      </c>
      <c r="AP107" s="1">
        <v>0</v>
      </c>
    </row>
    <row r="108" spans="1:42" x14ac:dyDescent="0.25">
      <c r="A108" s="1" t="s">
        <v>579</v>
      </c>
      <c r="B108" s="1" t="s">
        <v>580</v>
      </c>
      <c r="C108" s="1" t="s">
        <v>581</v>
      </c>
      <c r="D108" s="1" t="str">
        <f>+C108</f>
        <v>GUATRAPE S.A.</v>
      </c>
      <c r="F108" s="1" t="s">
        <v>41</v>
      </c>
      <c r="G108" s="1" t="s">
        <v>42</v>
      </c>
      <c r="H108" s="1" t="s">
        <v>42</v>
      </c>
      <c r="I108" s="1" t="s">
        <v>43</v>
      </c>
      <c r="J108" s="1" t="s">
        <v>44</v>
      </c>
      <c r="K108" s="1" t="s">
        <v>45</v>
      </c>
      <c r="L108" s="1" t="s">
        <v>582</v>
      </c>
      <c r="M108" s="1" t="s">
        <v>69</v>
      </c>
      <c r="N108" s="1">
        <v>58</v>
      </c>
      <c r="O108" s="1" t="s">
        <v>45</v>
      </c>
      <c r="P108" s="1" t="s">
        <v>45</v>
      </c>
      <c r="Q108" s="1" t="s">
        <v>583</v>
      </c>
      <c r="R108" s="1" t="s">
        <v>49</v>
      </c>
      <c r="S108" s="1" t="s">
        <v>50</v>
      </c>
      <c r="T108" s="1" t="s">
        <v>50</v>
      </c>
      <c r="U108" s="1" t="s">
        <v>45</v>
      </c>
      <c r="V108" s="1" t="s">
        <v>45</v>
      </c>
      <c r="W108" s="1" t="s">
        <v>45</v>
      </c>
      <c r="X108" s="1" t="s">
        <v>45</v>
      </c>
      <c r="Y108" s="1" t="s">
        <v>45</v>
      </c>
      <c r="Z108" s="1">
        <v>0</v>
      </c>
      <c r="AA108" s="1" t="s">
        <v>45</v>
      </c>
      <c r="AB108" s="1" t="s">
        <v>45</v>
      </c>
      <c r="AC108" s="1" t="s">
        <v>45</v>
      </c>
      <c r="AD108" s="1" t="s">
        <v>45</v>
      </c>
      <c r="AE108" s="1" t="s">
        <v>45</v>
      </c>
      <c r="AF108" s="1" t="s">
        <v>51</v>
      </c>
      <c r="AG108" s="1" t="s">
        <v>45</v>
      </c>
      <c r="AH108" s="1" t="s">
        <v>45</v>
      </c>
      <c r="AI108" s="1" t="s">
        <v>45</v>
      </c>
      <c r="AJ108" s="1" t="s">
        <v>45</v>
      </c>
      <c r="AK108" s="1" t="s">
        <v>45</v>
      </c>
      <c r="AL108" s="1" t="s">
        <v>49</v>
      </c>
      <c r="AM108" s="1" t="s">
        <v>49</v>
      </c>
      <c r="AN108" s="1">
        <v>0</v>
      </c>
      <c r="AO108" s="1">
        <v>0</v>
      </c>
      <c r="AP108" s="1">
        <v>0</v>
      </c>
    </row>
    <row r="109" spans="1:42" x14ac:dyDescent="0.25">
      <c r="A109" s="1" t="s">
        <v>584</v>
      </c>
      <c r="B109" s="1" t="s">
        <v>585</v>
      </c>
      <c r="C109" s="1" t="s">
        <v>586</v>
      </c>
      <c r="D109" s="1" t="str">
        <f t="shared" si="9"/>
        <v>GUERRERO SANCHEZ</v>
      </c>
      <c r="E109" s="1" t="str">
        <f>RIGHT(C109, LEN(C109) - FIND(" ", C109, FIND(" ", C109, FIND(" ", C109) + 0) + 1))</f>
        <v>TATIANA</v>
      </c>
      <c r="F109" s="1" t="s">
        <v>41</v>
      </c>
      <c r="G109" s="1" t="s">
        <v>42</v>
      </c>
      <c r="H109" s="1" t="s">
        <v>42</v>
      </c>
      <c r="I109" s="1" t="s">
        <v>43</v>
      </c>
      <c r="J109" s="1" t="s">
        <v>44</v>
      </c>
      <c r="K109" s="1" t="s">
        <v>45</v>
      </c>
      <c r="L109" s="1" t="s">
        <v>587</v>
      </c>
      <c r="M109" s="1" t="s">
        <v>69</v>
      </c>
      <c r="N109" s="1">
        <v>58</v>
      </c>
      <c r="O109" s="1" t="s">
        <v>45</v>
      </c>
      <c r="P109" s="1" t="s">
        <v>45</v>
      </c>
      <c r="Q109" s="1" t="s">
        <v>45</v>
      </c>
      <c r="R109" s="1" t="s">
        <v>49</v>
      </c>
      <c r="S109" s="1" t="s">
        <v>50</v>
      </c>
      <c r="T109" s="1" t="s">
        <v>50</v>
      </c>
      <c r="U109" s="1" t="s">
        <v>45</v>
      </c>
      <c r="V109" s="1" t="s">
        <v>45</v>
      </c>
      <c r="W109" s="1" t="s">
        <v>45</v>
      </c>
      <c r="X109" s="1" t="s">
        <v>45</v>
      </c>
      <c r="Y109" s="1" t="s">
        <v>45</v>
      </c>
      <c r="Z109" s="1">
        <v>0</v>
      </c>
      <c r="AA109" s="1" t="s">
        <v>45</v>
      </c>
      <c r="AB109" s="1" t="s">
        <v>45</v>
      </c>
      <c r="AC109" s="1" t="s">
        <v>45</v>
      </c>
      <c r="AD109" s="1" t="s">
        <v>45</v>
      </c>
      <c r="AE109" s="1" t="s">
        <v>45</v>
      </c>
      <c r="AF109" s="1" t="s">
        <v>51</v>
      </c>
      <c r="AG109" s="1" t="s">
        <v>45</v>
      </c>
      <c r="AH109" s="1" t="s">
        <v>45</v>
      </c>
      <c r="AI109" s="1" t="s">
        <v>45</v>
      </c>
      <c r="AJ109" s="1" t="s">
        <v>45</v>
      </c>
      <c r="AK109" s="1" t="s">
        <v>45</v>
      </c>
      <c r="AL109" s="1" t="s">
        <v>49</v>
      </c>
      <c r="AM109" s="1" t="s">
        <v>49</v>
      </c>
      <c r="AN109" s="1">
        <v>0</v>
      </c>
      <c r="AO109" s="1">
        <v>0</v>
      </c>
      <c r="AP109" s="1">
        <v>0</v>
      </c>
    </row>
    <row r="110" spans="1:42" x14ac:dyDescent="0.25">
      <c r="A110" s="1" t="s">
        <v>588</v>
      </c>
      <c r="B110" s="1" t="s">
        <v>589</v>
      </c>
      <c r="C110" s="1" t="s">
        <v>590</v>
      </c>
      <c r="D110" s="1" t="str">
        <f>+C110</f>
        <v>HACIENDA NUEVA ERA HACNUERA S.A.</v>
      </c>
      <c r="F110" s="1" t="s">
        <v>41</v>
      </c>
      <c r="G110" s="1" t="s">
        <v>42</v>
      </c>
      <c r="H110" s="1" t="s">
        <v>42</v>
      </c>
      <c r="I110" s="1" t="s">
        <v>43</v>
      </c>
      <c r="J110" s="1" t="s">
        <v>44</v>
      </c>
      <c r="K110" s="1" t="s">
        <v>45</v>
      </c>
      <c r="L110" s="1" t="s">
        <v>591</v>
      </c>
      <c r="M110" s="1" t="s">
        <v>62</v>
      </c>
      <c r="N110" s="1">
        <v>3</v>
      </c>
      <c r="O110" s="1" t="s">
        <v>45</v>
      </c>
      <c r="P110" s="1" t="s">
        <v>45</v>
      </c>
      <c r="Q110" s="1" t="s">
        <v>592</v>
      </c>
      <c r="R110" s="1" t="s">
        <v>49</v>
      </c>
      <c r="S110" s="1" t="s">
        <v>50</v>
      </c>
      <c r="T110" s="1" t="s">
        <v>50</v>
      </c>
      <c r="U110" s="1" t="s">
        <v>45</v>
      </c>
      <c r="V110" s="1" t="s">
        <v>45</v>
      </c>
      <c r="W110" s="1" t="s">
        <v>45</v>
      </c>
      <c r="X110" s="1" t="s">
        <v>45</v>
      </c>
      <c r="Y110" s="1" t="s">
        <v>45</v>
      </c>
      <c r="Z110" s="1">
        <v>0</v>
      </c>
      <c r="AA110" s="1" t="s">
        <v>45</v>
      </c>
      <c r="AB110" s="1" t="s">
        <v>45</v>
      </c>
      <c r="AC110" s="1" t="s">
        <v>45</v>
      </c>
      <c r="AD110" s="1" t="s">
        <v>45</v>
      </c>
      <c r="AE110" s="1" t="s">
        <v>45</v>
      </c>
      <c r="AF110" s="1" t="s">
        <v>51</v>
      </c>
      <c r="AG110" s="1" t="s">
        <v>45</v>
      </c>
      <c r="AH110" s="1" t="s">
        <v>45</v>
      </c>
      <c r="AI110" s="1" t="s">
        <v>45</v>
      </c>
      <c r="AJ110" s="1" t="s">
        <v>45</v>
      </c>
      <c r="AK110" s="1" t="s">
        <v>45</v>
      </c>
      <c r="AL110" s="1" t="s">
        <v>49</v>
      </c>
      <c r="AM110" s="1" t="s">
        <v>49</v>
      </c>
      <c r="AN110" s="1">
        <v>0</v>
      </c>
      <c r="AO110" s="1">
        <v>0</v>
      </c>
      <c r="AP110" s="1">
        <v>0</v>
      </c>
    </row>
    <row r="111" spans="1:42" x14ac:dyDescent="0.25">
      <c r="A111" s="1" t="s">
        <v>593</v>
      </c>
      <c r="B111" s="1" t="s">
        <v>594</v>
      </c>
      <c r="C111" s="1" t="s">
        <v>595</v>
      </c>
      <c r="D111" s="1" t="str">
        <f>+C111</f>
        <v>HAOBIN PAN</v>
      </c>
      <c r="F111" s="1" t="s">
        <v>41</v>
      </c>
      <c r="G111" s="1" t="s">
        <v>42</v>
      </c>
      <c r="H111" s="1" t="s">
        <v>42</v>
      </c>
      <c r="I111" s="1" t="s">
        <v>43</v>
      </c>
      <c r="J111" s="1" t="s">
        <v>44</v>
      </c>
      <c r="K111" s="1" t="s">
        <v>45</v>
      </c>
      <c r="L111" s="1" t="s">
        <v>596</v>
      </c>
      <c r="M111" s="1" t="s">
        <v>69</v>
      </c>
      <c r="N111" s="1">
        <v>58</v>
      </c>
      <c r="O111" s="1" t="s">
        <v>45</v>
      </c>
      <c r="P111" s="1" t="s">
        <v>45</v>
      </c>
      <c r="Q111" s="1" t="s">
        <v>45</v>
      </c>
      <c r="R111" s="1" t="s">
        <v>49</v>
      </c>
      <c r="S111" s="1" t="s">
        <v>50</v>
      </c>
      <c r="T111" s="1" t="s">
        <v>50</v>
      </c>
      <c r="U111" s="1" t="s">
        <v>45</v>
      </c>
      <c r="V111" s="1" t="s">
        <v>45</v>
      </c>
      <c r="W111" s="1" t="s">
        <v>45</v>
      </c>
      <c r="X111" s="1" t="s">
        <v>45</v>
      </c>
      <c r="Y111" s="1" t="s">
        <v>45</v>
      </c>
      <c r="Z111" s="1">
        <v>0</v>
      </c>
      <c r="AA111" s="1" t="s">
        <v>45</v>
      </c>
      <c r="AB111" s="1" t="s">
        <v>45</v>
      </c>
      <c r="AC111" s="1" t="s">
        <v>45</v>
      </c>
      <c r="AD111" s="1" t="s">
        <v>45</v>
      </c>
      <c r="AE111" s="1" t="s">
        <v>45</v>
      </c>
      <c r="AF111" s="1" t="s">
        <v>51</v>
      </c>
      <c r="AG111" s="1" t="s">
        <v>45</v>
      </c>
      <c r="AH111" s="1" t="s">
        <v>45</v>
      </c>
      <c r="AI111" s="1" t="s">
        <v>45</v>
      </c>
      <c r="AJ111" s="1" t="s">
        <v>45</v>
      </c>
      <c r="AK111" s="1" t="s">
        <v>45</v>
      </c>
      <c r="AL111" s="1" t="s">
        <v>49</v>
      </c>
      <c r="AM111" s="1" t="s">
        <v>49</v>
      </c>
      <c r="AN111" s="1">
        <v>0</v>
      </c>
      <c r="AO111" s="1">
        <v>0</v>
      </c>
      <c r="AP111" s="1">
        <v>0</v>
      </c>
    </row>
    <row r="112" spans="1:42" x14ac:dyDescent="0.25">
      <c r="A112" s="1" t="s">
        <v>597</v>
      </c>
      <c r="B112" s="1" t="s">
        <v>598</v>
      </c>
      <c r="C112" s="1" t="s">
        <v>599</v>
      </c>
      <c r="D112" s="1" t="str">
        <f t="shared" si="9"/>
        <v>HEREDIA QUEZADA</v>
      </c>
      <c r="E112" s="1" t="str">
        <f t="shared" ref="E112" si="16">RIGHT(C112, LEN(C112) - FIND(" ", C112, FIND(" ", C112, FIND(" ", C112) + 0) + 1))</f>
        <v>CRISTOBAL FABIAN</v>
      </c>
      <c r="F112" s="1" t="s">
        <v>41</v>
      </c>
      <c r="G112" s="1" t="s">
        <v>42</v>
      </c>
      <c r="H112" s="1" t="s">
        <v>42</v>
      </c>
      <c r="I112" s="1" t="s">
        <v>43</v>
      </c>
      <c r="J112" s="1" t="s">
        <v>44</v>
      </c>
      <c r="K112" s="1" t="s">
        <v>45</v>
      </c>
      <c r="L112" s="1" t="s">
        <v>600</v>
      </c>
      <c r="M112" s="1" t="s">
        <v>62</v>
      </c>
      <c r="N112" s="1">
        <v>3</v>
      </c>
      <c r="O112" s="1" t="s">
        <v>45</v>
      </c>
      <c r="P112" s="1" t="s">
        <v>45</v>
      </c>
      <c r="Q112" s="1" t="s">
        <v>601</v>
      </c>
      <c r="R112" s="1" t="s">
        <v>49</v>
      </c>
      <c r="S112" s="1" t="s">
        <v>50</v>
      </c>
      <c r="T112" s="1" t="s">
        <v>50</v>
      </c>
      <c r="U112" s="1" t="s">
        <v>45</v>
      </c>
      <c r="V112" s="1" t="s">
        <v>45</v>
      </c>
      <c r="W112" s="1" t="s">
        <v>45</v>
      </c>
      <c r="X112" s="1" t="s">
        <v>45</v>
      </c>
      <c r="Y112" s="1" t="s">
        <v>45</v>
      </c>
      <c r="Z112" s="1">
        <v>0</v>
      </c>
      <c r="AA112" s="1" t="s">
        <v>45</v>
      </c>
      <c r="AB112" s="1" t="s">
        <v>45</v>
      </c>
      <c r="AC112" s="1" t="s">
        <v>45</v>
      </c>
      <c r="AD112" s="1" t="s">
        <v>45</v>
      </c>
      <c r="AE112" s="1" t="s">
        <v>45</v>
      </c>
      <c r="AF112" s="1" t="s">
        <v>51</v>
      </c>
      <c r="AG112" s="1" t="s">
        <v>45</v>
      </c>
      <c r="AH112" s="1" t="s">
        <v>45</v>
      </c>
      <c r="AI112" s="1" t="s">
        <v>45</v>
      </c>
      <c r="AJ112" s="1" t="s">
        <v>45</v>
      </c>
      <c r="AK112" s="1" t="s">
        <v>45</v>
      </c>
      <c r="AL112" s="1" t="s">
        <v>49</v>
      </c>
      <c r="AM112" s="1" t="s">
        <v>49</v>
      </c>
      <c r="AN112" s="1">
        <v>0</v>
      </c>
      <c r="AO112" s="1">
        <v>0</v>
      </c>
      <c r="AP112" s="1">
        <v>0</v>
      </c>
    </row>
    <row r="113" spans="1:42" x14ac:dyDescent="0.25">
      <c r="A113" s="1" t="s">
        <v>602</v>
      </c>
      <c r="B113" s="1" t="s">
        <v>603</v>
      </c>
      <c r="C113" s="1" t="s">
        <v>604</v>
      </c>
      <c r="D113" s="1" t="str">
        <f t="shared" ref="D113:D119" si="17">+C113</f>
        <v>HONG XIAOFAN</v>
      </c>
      <c r="F113" s="1" t="s">
        <v>41</v>
      </c>
      <c r="G113" s="1" t="s">
        <v>42</v>
      </c>
      <c r="H113" s="1" t="s">
        <v>42</v>
      </c>
      <c r="I113" s="1" t="s">
        <v>43</v>
      </c>
      <c r="J113" s="1" t="s">
        <v>44</v>
      </c>
      <c r="K113" s="1" t="s">
        <v>45</v>
      </c>
      <c r="L113" s="1" t="s">
        <v>605</v>
      </c>
      <c r="M113" s="1" t="s">
        <v>62</v>
      </c>
      <c r="N113" s="1">
        <v>3</v>
      </c>
      <c r="O113" s="1" t="s">
        <v>45</v>
      </c>
      <c r="P113" s="1" t="s">
        <v>45</v>
      </c>
      <c r="Q113" s="1" t="s">
        <v>45</v>
      </c>
      <c r="R113" s="1" t="s">
        <v>49</v>
      </c>
      <c r="S113" s="1" t="s">
        <v>50</v>
      </c>
      <c r="T113" s="1" t="s">
        <v>50</v>
      </c>
      <c r="U113" s="1" t="s">
        <v>45</v>
      </c>
      <c r="V113" s="1" t="s">
        <v>45</v>
      </c>
      <c r="W113" s="1" t="s">
        <v>45</v>
      </c>
      <c r="X113" s="1" t="s">
        <v>45</v>
      </c>
      <c r="Y113" s="1" t="s">
        <v>45</v>
      </c>
      <c r="Z113" s="1">
        <v>0</v>
      </c>
      <c r="AA113" s="1" t="s">
        <v>45</v>
      </c>
      <c r="AB113" s="1" t="s">
        <v>45</v>
      </c>
      <c r="AC113" s="1" t="s">
        <v>45</v>
      </c>
      <c r="AD113" s="1" t="s">
        <v>45</v>
      </c>
      <c r="AE113" s="1" t="s">
        <v>45</v>
      </c>
      <c r="AF113" s="1" t="s">
        <v>51</v>
      </c>
      <c r="AG113" s="1" t="s">
        <v>45</v>
      </c>
      <c r="AH113" s="1" t="s">
        <v>45</v>
      </c>
      <c r="AI113" s="1" t="s">
        <v>45</v>
      </c>
      <c r="AJ113" s="1" t="s">
        <v>45</v>
      </c>
      <c r="AK113" s="1" t="s">
        <v>606</v>
      </c>
      <c r="AL113" s="1" t="s">
        <v>49</v>
      </c>
      <c r="AM113" s="1" t="s">
        <v>49</v>
      </c>
      <c r="AN113" s="1">
        <v>0</v>
      </c>
      <c r="AO113" s="1">
        <v>0</v>
      </c>
      <c r="AP113" s="1">
        <v>0</v>
      </c>
    </row>
    <row r="114" spans="1:42" x14ac:dyDescent="0.25">
      <c r="A114" s="1" t="s">
        <v>607</v>
      </c>
      <c r="B114" s="1" t="s">
        <v>608</v>
      </c>
      <c r="C114" s="1" t="s">
        <v>609</v>
      </c>
      <c r="D114" s="1" t="str">
        <f t="shared" si="17"/>
        <v>IMPORTADORA DE MATERIALES DE CONSTRUCION CIA LTDA</v>
      </c>
      <c r="F114" s="1" t="s">
        <v>41</v>
      </c>
      <c r="G114" s="1" t="s">
        <v>42</v>
      </c>
      <c r="H114" s="1" t="s">
        <v>42</v>
      </c>
      <c r="I114" s="1" t="s">
        <v>43</v>
      </c>
      <c r="J114" s="1" t="s">
        <v>44</v>
      </c>
      <c r="K114" s="1" t="s">
        <v>45</v>
      </c>
      <c r="L114" s="1" t="s">
        <v>610</v>
      </c>
      <c r="M114" s="1" t="s">
        <v>62</v>
      </c>
      <c r="N114" s="1">
        <v>3</v>
      </c>
      <c r="O114" s="1" t="s">
        <v>611</v>
      </c>
      <c r="P114" s="1" t="s">
        <v>45</v>
      </c>
      <c r="Q114" s="1" t="s">
        <v>45</v>
      </c>
      <c r="R114" s="1" t="s">
        <v>49</v>
      </c>
      <c r="S114" s="1" t="s">
        <v>50</v>
      </c>
      <c r="T114" s="1" t="s">
        <v>50</v>
      </c>
      <c r="U114" s="1" t="s">
        <v>45</v>
      </c>
      <c r="V114" s="1" t="s">
        <v>45</v>
      </c>
      <c r="W114" s="1" t="s">
        <v>45</v>
      </c>
      <c r="X114" s="1" t="s">
        <v>45</v>
      </c>
      <c r="Y114" s="1" t="s">
        <v>45</v>
      </c>
      <c r="Z114" s="1">
        <v>0</v>
      </c>
      <c r="AA114" s="1" t="s">
        <v>45</v>
      </c>
      <c r="AB114" s="1" t="s">
        <v>45</v>
      </c>
      <c r="AC114" s="1" t="s">
        <v>45</v>
      </c>
      <c r="AD114" s="1" t="s">
        <v>45</v>
      </c>
      <c r="AE114" s="1" t="s">
        <v>45</v>
      </c>
      <c r="AF114" s="1" t="s">
        <v>51</v>
      </c>
      <c r="AG114" s="1" t="s">
        <v>45</v>
      </c>
      <c r="AH114" s="1" t="s">
        <v>45</v>
      </c>
      <c r="AI114" s="1" t="s">
        <v>45</v>
      </c>
      <c r="AJ114" s="1" t="s">
        <v>45</v>
      </c>
      <c r="AK114" s="1" t="s">
        <v>612</v>
      </c>
      <c r="AL114" s="1" t="s">
        <v>49</v>
      </c>
      <c r="AM114" s="1" t="s">
        <v>49</v>
      </c>
      <c r="AN114" s="1">
        <v>0</v>
      </c>
      <c r="AO114" s="1">
        <v>0</v>
      </c>
      <c r="AP114" s="1">
        <v>0</v>
      </c>
    </row>
    <row r="115" spans="1:42" x14ac:dyDescent="0.25">
      <c r="A115" s="1" t="s">
        <v>613</v>
      </c>
      <c r="B115" s="1" t="s">
        <v>614</v>
      </c>
      <c r="C115" s="1" t="s">
        <v>615</v>
      </c>
      <c r="D115" s="1" t="str">
        <f t="shared" si="17"/>
        <v>IMPORTADORA ZHUO</v>
      </c>
      <c r="F115" s="1" t="s">
        <v>41</v>
      </c>
      <c r="G115" s="1" t="s">
        <v>42</v>
      </c>
      <c r="H115" s="1" t="s">
        <v>42</v>
      </c>
      <c r="I115" s="1" t="s">
        <v>43</v>
      </c>
      <c r="J115" s="1" t="s">
        <v>44</v>
      </c>
      <c r="K115" s="1" t="s">
        <v>616</v>
      </c>
      <c r="L115" s="1" t="s">
        <v>617</v>
      </c>
      <c r="M115" s="1" t="s">
        <v>62</v>
      </c>
      <c r="N115" s="1">
        <v>3</v>
      </c>
      <c r="O115" s="1" t="s">
        <v>45</v>
      </c>
      <c r="P115" s="1" t="s">
        <v>45</v>
      </c>
      <c r="Q115" s="1" t="s">
        <v>618</v>
      </c>
      <c r="R115" s="1" t="s">
        <v>49</v>
      </c>
      <c r="S115" s="1" t="s">
        <v>50</v>
      </c>
      <c r="T115" s="1" t="s">
        <v>50</v>
      </c>
      <c r="U115" s="1" t="s">
        <v>45</v>
      </c>
      <c r="V115" s="1" t="s">
        <v>45</v>
      </c>
      <c r="W115" s="1" t="s">
        <v>45</v>
      </c>
      <c r="X115" s="1" t="s">
        <v>45</v>
      </c>
      <c r="Y115" s="1" t="s">
        <v>45</v>
      </c>
      <c r="Z115" s="1">
        <v>0</v>
      </c>
      <c r="AA115" s="1" t="s">
        <v>45</v>
      </c>
      <c r="AB115" s="1" t="s">
        <v>45</v>
      </c>
      <c r="AC115" s="1" t="s">
        <v>45</v>
      </c>
      <c r="AD115" s="1" t="s">
        <v>45</v>
      </c>
      <c r="AE115" s="1" t="s">
        <v>45</v>
      </c>
      <c r="AF115" s="1" t="s">
        <v>51</v>
      </c>
      <c r="AG115" s="1" t="s">
        <v>45</v>
      </c>
      <c r="AH115" s="1" t="s">
        <v>45</v>
      </c>
      <c r="AI115" s="1" t="s">
        <v>45</v>
      </c>
      <c r="AJ115" s="1" t="s">
        <v>45</v>
      </c>
      <c r="AK115" s="1" t="s">
        <v>619</v>
      </c>
      <c r="AL115" s="1" t="s">
        <v>49</v>
      </c>
      <c r="AM115" s="1" t="s">
        <v>49</v>
      </c>
      <c r="AN115" s="1">
        <v>0</v>
      </c>
      <c r="AO115" s="1">
        <v>0</v>
      </c>
      <c r="AP115" s="1">
        <v>0</v>
      </c>
    </row>
    <row r="116" spans="1:42" x14ac:dyDescent="0.25">
      <c r="A116" s="1" t="s">
        <v>620</v>
      </c>
      <c r="B116" s="1" t="s">
        <v>621</v>
      </c>
      <c r="C116" s="1" t="s">
        <v>622</v>
      </c>
      <c r="D116" s="1" t="str">
        <f t="shared" si="17"/>
        <v>IMPRENTA Y PUBLICIDAD PIXEL CREATIVE</v>
      </c>
      <c r="F116" s="1" t="s">
        <v>41</v>
      </c>
      <c r="G116" s="1" t="s">
        <v>42</v>
      </c>
      <c r="H116" s="1" t="s">
        <v>42</v>
      </c>
      <c r="I116" s="1" t="s">
        <v>43</v>
      </c>
      <c r="J116" s="1" t="s">
        <v>44</v>
      </c>
      <c r="K116" s="1" t="s">
        <v>45</v>
      </c>
      <c r="L116" s="1" t="s">
        <v>623</v>
      </c>
      <c r="M116" s="1" t="s">
        <v>69</v>
      </c>
      <c r="N116" s="1">
        <v>58</v>
      </c>
      <c r="O116" s="1" t="s">
        <v>45</v>
      </c>
      <c r="P116" s="1" t="s">
        <v>45</v>
      </c>
      <c r="Q116" s="1" t="s">
        <v>45</v>
      </c>
      <c r="R116" s="1" t="s">
        <v>49</v>
      </c>
      <c r="S116" s="1" t="s">
        <v>50</v>
      </c>
      <c r="T116" s="1" t="s">
        <v>50</v>
      </c>
      <c r="U116" s="1" t="s">
        <v>45</v>
      </c>
      <c r="V116" s="1" t="s">
        <v>45</v>
      </c>
      <c r="W116" s="1" t="s">
        <v>45</v>
      </c>
      <c r="X116" s="1" t="s">
        <v>45</v>
      </c>
      <c r="Y116" s="1" t="s">
        <v>45</v>
      </c>
      <c r="Z116" s="1">
        <v>0</v>
      </c>
      <c r="AA116" s="1" t="s">
        <v>45</v>
      </c>
      <c r="AB116" s="1" t="s">
        <v>45</v>
      </c>
      <c r="AC116" s="1" t="s">
        <v>45</v>
      </c>
      <c r="AD116" s="1" t="s">
        <v>45</v>
      </c>
      <c r="AE116" s="1" t="s">
        <v>45</v>
      </c>
      <c r="AF116" s="1" t="s">
        <v>51</v>
      </c>
      <c r="AG116" s="1" t="s">
        <v>45</v>
      </c>
      <c r="AH116" s="1" t="s">
        <v>45</v>
      </c>
      <c r="AI116" s="1" t="s">
        <v>45</v>
      </c>
      <c r="AJ116" s="1" t="s">
        <v>45</v>
      </c>
      <c r="AK116" s="1" t="s">
        <v>624</v>
      </c>
      <c r="AL116" s="1" t="s">
        <v>49</v>
      </c>
      <c r="AM116" s="1" t="s">
        <v>49</v>
      </c>
      <c r="AN116" s="1">
        <v>0</v>
      </c>
      <c r="AO116" s="1">
        <v>0</v>
      </c>
      <c r="AP116" s="1">
        <v>0</v>
      </c>
    </row>
    <row r="117" spans="1:42" x14ac:dyDescent="0.25">
      <c r="A117" s="1" t="s">
        <v>625</v>
      </c>
      <c r="B117" s="1" t="s">
        <v>626</v>
      </c>
      <c r="C117" s="1" t="s">
        <v>627</v>
      </c>
      <c r="D117" s="1" t="str">
        <f t="shared" si="17"/>
        <v>INDUSTRIA CARTONERA PALMAR S.A.</v>
      </c>
      <c r="F117" s="1" t="s">
        <v>228</v>
      </c>
      <c r="G117" s="1" t="s">
        <v>55</v>
      </c>
      <c r="H117" s="1" t="s">
        <v>42</v>
      </c>
      <c r="I117" s="1" t="s">
        <v>43</v>
      </c>
      <c r="J117" s="1" t="s">
        <v>44</v>
      </c>
      <c r="K117" s="1" t="s">
        <v>45</v>
      </c>
      <c r="L117" s="1" t="s">
        <v>628</v>
      </c>
      <c r="M117" s="1" t="s">
        <v>62</v>
      </c>
      <c r="N117" s="1">
        <v>3</v>
      </c>
      <c r="O117" s="1" t="s">
        <v>629</v>
      </c>
      <c r="P117" s="1" t="s">
        <v>45</v>
      </c>
      <c r="Q117" s="1" t="s">
        <v>630</v>
      </c>
      <c r="R117" s="1" t="s">
        <v>49</v>
      </c>
      <c r="S117" s="1" t="s">
        <v>50</v>
      </c>
      <c r="T117" s="1" t="s">
        <v>50</v>
      </c>
      <c r="U117" s="1" t="s">
        <v>45</v>
      </c>
      <c r="V117" s="1" t="s">
        <v>45</v>
      </c>
      <c r="W117" s="1" t="s">
        <v>45</v>
      </c>
      <c r="X117" s="1" t="s">
        <v>45</v>
      </c>
      <c r="Y117" s="1" t="s">
        <v>45</v>
      </c>
      <c r="Z117" s="1">
        <v>0</v>
      </c>
      <c r="AA117" s="1" t="s">
        <v>45</v>
      </c>
      <c r="AB117" s="1" t="s">
        <v>45</v>
      </c>
      <c r="AC117" s="1" t="s">
        <v>45</v>
      </c>
      <c r="AD117" s="1" t="s">
        <v>45</v>
      </c>
      <c r="AE117" s="1" t="s">
        <v>45</v>
      </c>
      <c r="AF117" s="1" t="s">
        <v>51</v>
      </c>
      <c r="AG117" s="1" t="s">
        <v>45</v>
      </c>
      <c r="AH117" s="1" t="s">
        <v>45</v>
      </c>
      <c r="AI117" s="1" t="s">
        <v>45</v>
      </c>
      <c r="AJ117" s="1" t="s">
        <v>45</v>
      </c>
      <c r="AK117" s="1" t="s">
        <v>45</v>
      </c>
      <c r="AL117" s="1" t="s">
        <v>49</v>
      </c>
      <c r="AM117" s="1" t="s">
        <v>49</v>
      </c>
      <c r="AN117" s="1">
        <v>0</v>
      </c>
      <c r="AO117" s="1">
        <v>0</v>
      </c>
      <c r="AP117" s="1">
        <v>0</v>
      </c>
    </row>
    <row r="118" spans="1:42" x14ac:dyDescent="0.25">
      <c r="A118" s="1" t="s">
        <v>631</v>
      </c>
      <c r="B118" s="1" t="s">
        <v>632</v>
      </c>
      <c r="C118" s="1" t="s">
        <v>633</v>
      </c>
      <c r="D118" s="1" t="str">
        <f t="shared" si="17"/>
        <v>INVERSIONES SAN MARTIN CUENCA INSAC C. LTDA</v>
      </c>
      <c r="F118" s="1" t="s">
        <v>41</v>
      </c>
      <c r="G118" s="1" t="s">
        <v>42</v>
      </c>
      <c r="H118" s="1" t="s">
        <v>42</v>
      </c>
      <c r="I118" s="1" t="s">
        <v>43</v>
      </c>
      <c r="J118" s="1" t="s">
        <v>44</v>
      </c>
      <c r="K118" s="1" t="s">
        <v>45</v>
      </c>
      <c r="L118" s="1" t="s">
        <v>634</v>
      </c>
      <c r="M118" s="1" t="s">
        <v>97</v>
      </c>
      <c r="N118" s="1">
        <v>217</v>
      </c>
      <c r="O118" s="1" t="s">
        <v>45</v>
      </c>
      <c r="P118" s="1" t="s">
        <v>45</v>
      </c>
      <c r="Q118" s="1" t="s">
        <v>635</v>
      </c>
      <c r="R118" s="1" t="s">
        <v>49</v>
      </c>
      <c r="S118" s="1" t="s">
        <v>50</v>
      </c>
      <c r="T118" s="1" t="s">
        <v>50</v>
      </c>
      <c r="U118" s="1" t="s">
        <v>45</v>
      </c>
      <c r="V118" s="1" t="s">
        <v>45</v>
      </c>
      <c r="W118" s="1" t="s">
        <v>45</v>
      </c>
      <c r="X118" s="1" t="s">
        <v>45</v>
      </c>
      <c r="Y118" s="1" t="s">
        <v>45</v>
      </c>
      <c r="Z118" s="1">
        <v>0</v>
      </c>
      <c r="AA118" s="1" t="s">
        <v>45</v>
      </c>
      <c r="AB118" s="1" t="s">
        <v>45</v>
      </c>
      <c r="AC118" s="1" t="s">
        <v>45</v>
      </c>
      <c r="AD118" s="1" t="s">
        <v>45</v>
      </c>
      <c r="AE118" s="1" t="s">
        <v>45</v>
      </c>
      <c r="AF118" s="1" t="s">
        <v>51</v>
      </c>
      <c r="AG118" s="1" t="s">
        <v>45</v>
      </c>
      <c r="AH118" s="1" t="s">
        <v>45</v>
      </c>
      <c r="AI118" s="1" t="s">
        <v>45</v>
      </c>
      <c r="AJ118" s="1" t="s">
        <v>45</v>
      </c>
      <c r="AK118" s="1" t="s">
        <v>45</v>
      </c>
      <c r="AL118" s="1" t="s">
        <v>49</v>
      </c>
      <c r="AM118" s="1" t="s">
        <v>49</v>
      </c>
      <c r="AN118" s="1">
        <v>0</v>
      </c>
      <c r="AO118" s="1">
        <v>0</v>
      </c>
      <c r="AP118" s="1">
        <v>0</v>
      </c>
    </row>
    <row r="119" spans="1:42" x14ac:dyDescent="0.25">
      <c r="A119" s="1" t="s">
        <v>636</v>
      </c>
      <c r="B119" s="1" t="s">
        <v>637</v>
      </c>
      <c r="C119" s="1" t="s">
        <v>638</v>
      </c>
      <c r="D119" s="1" t="str">
        <f t="shared" si="17"/>
        <v>ITALIMENTOS CIA.LTDA</v>
      </c>
      <c r="F119" s="1" t="s">
        <v>41</v>
      </c>
      <c r="G119" s="1" t="s">
        <v>42</v>
      </c>
      <c r="H119" s="1" t="s">
        <v>42</v>
      </c>
      <c r="I119" s="1" t="s">
        <v>43</v>
      </c>
      <c r="J119" s="1" t="s">
        <v>44</v>
      </c>
      <c r="K119" s="1" t="s">
        <v>45</v>
      </c>
      <c r="L119" s="1" t="s">
        <v>639</v>
      </c>
      <c r="M119" s="1" t="s">
        <v>421</v>
      </c>
      <c r="N119" s="1">
        <v>48</v>
      </c>
      <c r="O119" s="1" t="s">
        <v>45</v>
      </c>
      <c r="P119" s="1" t="s">
        <v>45</v>
      </c>
      <c r="Q119" s="1" t="s">
        <v>45</v>
      </c>
      <c r="R119" s="1" t="s">
        <v>49</v>
      </c>
      <c r="S119" s="1" t="s">
        <v>50</v>
      </c>
      <c r="T119" s="1" t="s">
        <v>50</v>
      </c>
      <c r="U119" s="1" t="s">
        <v>45</v>
      </c>
      <c r="V119" s="1" t="s">
        <v>45</v>
      </c>
      <c r="W119" s="1" t="s">
        <v>45</v>
      </c>
      <c r="X119" s="1" t="s">
        <v>45</v>
      </c>
      <c r="Y119" s="1" t="s">
        <v>45</v>
      </c>
      <c r="Z119" s="1">
        <v>0</v>
      </c>
      <c r="AA119" s="1" t="s">
        <v>45</v>
      </c>
      <c r="AB119" s="1" t="s">
        <v>45</v>
      </c>
      <c r="AC119" s="1" t="s">
        <v>45</v>
      </c>
      <c r="AD119" s="1" t="s">
        <v>45</v>
      </c>
      <c r="AE119" s="1" t="s">
        <v>45</v>
      </c>
      <c r="AF119" s="1" t="s">
        <v>51</v>
      </c>
      <c r="AG119" s="1" t="s">
        <v>45</v>
      </c>
      <c r="AH119" s="1" t="s">
        <v>45</v>
      </c>
      <c r="AI119" s="1" t="s">
        <v>45</v>
      </c>
      <c r="AJ119" s="1" t="s">
        <v>45</v>
      </c>
      <c r="AK119" s="1" t="s">
        <v>45</v>
      </c>
      <c r="AL119" s="1" t="s">
        <v>49</v>
      </c>
      <c r="AM119" s="1" t="s">
        <v>49</v>
      </c>
      <c r="AN119" s="1">
        <v>0</v>
      </c>
      <c r="AO119" s="1">
        <v>0</v>
      </c>
      <c r="AP119" s="1">
        <v>0</v>
      </c>
    </row>
    <row r="120" spans="1:42" x14ac:dyDescent="0.25">
      <c r="A120" s="1" t="s">
        <v>640</v>
      </c>
      <c r="B120" s="1" t="s">
        <v>641</v>
      </c>
      <c r="C120" s="1" t="s">
        <v>1172</v>
      </c>
      <c r="D120" s="1" t="str">
        <f t="shared" si="9"/>
        <v>IÑIGUEZ ARMIJOS</v>
      </c>
      <c r="E120" s="1" t="str">
        <f>RIGHT(C120, LEN(C120) - FIND(" ", C120, FIND(" ", C120, FIND(" ", C120) + 0) + 1))</f>
        <v>MILTON FERNANDO</v>
      </c>
      <c r="F120" s="1" t="s">
        <v>41</v>
      </c>
      <c r="G120" s="1" t="s">
        <v>42</v>
      </c>
      <c r="H120" s="1" t="s">
        <v>42</v>
      </c>
      <c r="I120" s="1" t="s">
        <v>43</v>
      </c>
      <c r="J120" s="1" t="s">
        <v>44</v>
      </c>
      <c r="K120" s="1" t="s">
        <v>45</v>
      </c>
      <c r="L120" s="1" t="s">
        <v>642</v>
      </c>
      <c r="M120" s="1" t="s">
        <v>97</v>
      </c>
      <c r="N120" s="1">
        <v>217</v>
      </c>
      <c r="O120" s="1" t="s">
        <v>45</v>
      </c>
      <c r="P120" s="1" t="s">
        <v>45</v>
      </c>
      <c r="Q120" s="1" t="s">
        <v>45</v>
      </c>
      <c r="R120" s="1" t="s">
        <v>49</v>
      </c>
      <c r="S120" s="1" t="s">
        <v>50</v>
      </c>
      <c r="T120" s="1" t="s">
        <v>50</v>
      </c>
      <c r="U120" s="1" t="s">
        <v>45</v>
      </c>
      <c r="V120" s="1" t="s">
        <v>45</v>
      </c>
      <c r="W120" s="1" t="s">
        <v>45</v>
      </c>
      <c r="X120" s="1" t="s">
        <v>45</v>
      </c>
      <c r="Y120" s="1" t="s">
        <v>45</v>
      </c>
      <c r="Z120" s="1">
        <v>0</v>
      </c>
      <c r="AA120" s="1" t="s">
        <v>45</v>
      </c>
      <c r="AB120" s="1" t="s">
        <v>45</v>
      </c>
      <c r="AC120" s="1" t="s">
        <v>45</v>
      </c>
      <c r="AD120" s="1" t="s">
        <v>45</v>
      </c>
      <c r="AE120" s="1" t="s">
        <v>45</v>
      </c>
      <c r="AF120" s="1" t="s">
        <v>51</v>
      </c>
      <c r="AG120" s="1" t="s">
        <v>45</v>
      </c>
      <c r="AH120" s="1" t="s">
        <v>45</v>
      </c>
      <c r="AI120" s="1" t="s">
        <v>45</v>
      </c>
      <c r="AJ120" s="1" t="s">
        <v>45</v>
      </c>
      <c r="AK120" s="1" t="s">
        <v>45</v>
      </c>
      <c r="AL120" s="1" t="s">
        <v>49</v>
      </c>
      <c r="AM120" s="1" t="s">
        <v>49</v>
      </c>
      <c r="AN120" s="1">
        <v>0</v>
      </c>
      <c r="AO120" s="1">
        <v>0</v>
      </c>
      <c r="AP120" s="1">
        <v>0</v>
      </c>
    </row>
    <row r="121" spans="1:42" x14ac:dyDescent="0.25">
      <c r="A121" s="1" t="s">
        <v>643</v>
      </c>
      <c r="B121" s="1" t="s">
        <v>644</v>
      </c>
      <c r="C121" s="1" t="s">
        <v>645</v>
      </c>
      <c r="D121" s="1" t="str">
        <f>+C121</f>
        <v>JESICA TRANSPORTE DE CARGA PESADA JESTRANSCAR S.A.</v>
      </c>
      <c r="F121" s="1" t="s">
        <v>41</v>
      </c>
      <c r="G121" s="1" t="s">
        <v>42</v>
      </c>
      <c r="H121" s="1" t="s">
        <v>42</v>
      </c>
      <c r="I121" s="1" t="s">
        <v>43</v>
      </c>
      <c r="J121" s="1" t="s">
        <v>44</v>
      </c>
      <c r="K121" s="1" t="s">
        <v>45</v>
      </c>
      <c r="L121" s="1" t="s">
        <v>646</v>
      </c>
      <c r="M121" s="1" t="s">
        <v>69</v>
      </c>
      <c r="N121" s="1">
        <v>58</v>
      </c>
      <c r="O121" s="1" t="s">
        <v>45</v>
      </c>
      <c r="P121" s="1" t="s">
        <v>45</v>
      </c>
      <c r="Q121" s="1" t="s">
        <v>647</v>
      </c>
      <c r="R121" s="1" t="s">
        <v>49</v>
      </c>
      <c r="S121" s="1" t="s">
        <v>50</v>
      </c>
      <c r="T121" s="1" t="s">
        <v>50</v>
      </c>
      <c r="U121" s="1" t="s">
        <v>45</v>
      </c>
      <c r="V121" s="1" t="s">
        <v>45</v>
      </c>
      <c r="W121" s="1" t="s">
        <v>45</v>
      </c>
      <c r="X121" s="1" t="s">
        <v>45</v>
      </c>
      <c r="Y121" s="1" t="s">
        <v>45</v>
      </c>
      <c r="Z121" s="1">
        <v>0</v>
      </c>
      <c r="AA121" s="1" t="s">
        <v>45</v>
      </c>
      <c r="AB121" s="1" t="s">
        <v>45</v>
      </c>
      <c r="AC121" s="1" t="s">
        <v>45</v>
      </c>
      <c r="AD121" s="1" t="s">
        <v>45</v>
      </c>
      <c r="AE121" s="1" t="s">
        <v>45</v>
      </c>
      <c r="AF121" s="1" t="s">
        <v>51</v>
      </c>
      <c r="AG121" s="1" t="s">
        <v>45</v>
      </c>
      <c r="AH121" s="1" t="s">
        <v>45</v>
      </c>
      <c r="AI121" s="1" t="s">
        <v>45</v>
      </c>
      <c r="AJ121" s="1" t="s">
        <v>45</v>
      </c>
      <c r="AK121" s="1" t="s">
        <v>45</v>
      </c>
      <c r="AL121" s="1" t="s">
        <v>49</v>
      </c>
      <c r="AM121" s="1" t="s">
        <v>49</v>
      </c>
      <c r="AN121" s="1">
        <v>0</v>
      </c>
      <c r="AO121" s="1">
        <v>0</v>
      </c>
      <c r="AP121" s="1">
        <v>0</v>
      </c>
    </row>
    <row r="122" spans="1:42" x14ac:dyDescent="0.25">
      <c r="A122" s="1" t="s">
        <v>648</v>
      </c>
      <c r="B122" s="1" t="s">
        <v>649</v>
      </c>
      <c r="C122" s="1" t="s">
        <v>650</v>
      </c>
      <c r="D122" s="1" t="str">
        <f t="shared" si="9"/>
        <v>JIMA GAVILANES</v>
      </c>
      <c r="E122" s="1" t="str">
        <f t="shared" ref="E122:E123" si="18">RIGHT(C122, LEN(C122) - FIND(" ", C122, FIND(" ", C122, FIND(" ", C122) + 0) + 1))</f>
        <v>ESTRELLA ELIZABETH</v>
      </c>
      <c r="F122" s="1" t="s">
        <v>41</v>
      </c>
      <c r="G122" s="1" t="s">
        <v>42</v>
      </c>
      <c r="H122" s="1" t="s">
        <v>42</v>
      </c>
      <c r="I122" s="1" t="s">
        <v>43</v>
      </c>
      <c r="J122" s="1" t="s">
        <v>44</v>
      </c>
      <c r="K122" s="1" t="s">
        <v>285</v>
      </c>
      <c r="L122" s="1" t="s">
        <v>651</v>
      </c>
      <c r="M122" s="1" t="s">
        <v>62</v>
      </c>
      <c r="N122" s="1">
        <v>3</v>
      </c>
      <c r="O122" s="1" t="s">
        <v>45</v>
      </c>
      <c r="P122" s="1" t="s">
        <v>45</v>
      </c>
      <c r="Q122" s="1" t="s">
        <v>287</v>
      </c>
      <c r="R122" s="1" t="s">
        <v>49</v>
      </c>
      <c r="S122" s="1" t="s">
        <v>50</v>
      </c>
      <c r="T122" s="1" t="s">
        <v>50</v>
      </c>
      <c r="U122" s="1" t="s">
        <v>45</v>
      </c>
      <c r="V122" s="1" t="s">
        <v>45</v>
      </c>
      <c r="W122" s="1" t="s">
        <v>45</v>
      </c>
      <c r="X122" s="1" t="s">
        <v>45</v>
      </c>
      <c r="Y122" s="1" t="s">
        <v>45</v>
      </c>
      <c r="Z122" s="1">
        <v>0</v>
      </c>
      <c r="AA122" s="1" t="s">
        <v>45</v>
      </c>
      <c r="AB122" s="1" t="s">
        <v>45</v>
      </c>
      <c r="AC122" s="1" t="s">
        <v>45</v>
      </c>
      <c r="AD122" s="1" t="s">
        <v>45</v>
      </c>
      <c r="AE122" s="1" t="s">
        <v>45</v>
      </c>
      <c r="AF122" s="1" t="s">
        <v>51</v>
      </c>
      <c r="AG122" s="1" t="s">
        <v>45</v>
      </c>
      <c r="AH122" s="1" t="s">
        <v>45</v>
      </c>
      <c r="AI122" s="1" t="s">
        <v>45</v>
      </c>
      <c r="AJ122" s="1" t="s">
        <v>45</v>
      </c>
      <c r="AK122" s="1" t="s">
        <v>45</v>
      </c>
      <c r="AL122" s="1" t="s">
        <v>49</v>
      </c>
      <c r="AM122" s="1" t="s">
        <v>49</v>
      </c>
      <c r="AN122" s="1">
        <v>0</v>
      </c>
      <c r="AO122" s="1">
        <v>0</v>
      </c>
      <c r="AP122" s="1">
        <v>0</v>
      </c>
    </row>
    <row r="123" spans="1:42" x14ac:dyDescent="0.25">
      <c r="A123" s="1" t="s">
        <v>652</v>
      </c>
      <c r="B123" s="1" t="s">
        <v>653</v>
      </c>
      <c r="C123" s="1" t="s">
        <v>654</v>
      </c>
      <c r="D123" s="1" t="str">
        <f>LEFT(C123, FIND(" ", C123, FIND(" ", C123) + 1) - 1)</f>
        <v>JOSÚ LUIS</v>
      </c>
      <c r="E123" s="1" t="str">
        <f t="shared" si="18"/>
        <v>MARTÝNEZ MARTÝNEZ</v>
      </c>
      <c r="F123" s="1" t="s">
        <v>41</v>
      </c>
      <c r="G123" s="1" t="s">
        <v>42</v>
      </c>
      <c r="H123" s="1" t="s">
        <v>42</v>
      </c>
      <c r="I123" s="1" t="s">
        <v>43</v>
      </c>
      <c r="J123" s="1" t="s">
        <v>44</v>
      </c>
      <c r="K123" s="1" t="s">
        <v>655</v>
      </c>
      <c r="L123" s="1" t="s">
        <v>656</v>
      </c>
      <c r="M123" s="1" t="s">
        <v>62</v>
      </c>
      <c r="N123" s="1">
        <v>3</v>
      </c>
      <c r="O123" s="1" t="s">
        <v>45</v>
      </c>
      <c r="P123" s="1" t="s">
        <v>45</v>
      </c>
      <c r="Q123" s="1" t="s">
        <v>657</v>
      </c>
      <c r="R123" s="1" t="s">
        <v>49</v>
      </c>
      <c r="S123" s="1" t="s">
        <v>50</v>
      </c>
      <c r="T123" s="1" t="s">
        <v>50</v>
      </c>
      <c r="U123" s="1" t="s">
        <v>45</v>
      </c>
      <c r="V123" s="1" t="s">
        <v>45</v>
      </c>
      <c r="W123" s="1" t="s">
        <v>45</v>
      </c>
      <c r="X123" s="1" t="s">
        <v>45</v>
      </c>
      <c r="Y123" s="1" t="s">
        <v>45</v>
      </c>
      <c r="Z123" s="1">
        <v>0</v>
      </c>
      <c r="AA123" s="1" t="s">
        <v>45</v>
      </c>
      <c r="AB123" s="1" t="s">
        <v>45</v>
      </c>
      <c r="AC123" s="1" t="s">
        <v>45</v>
      </c>
      <c r="AD123" s="1" t="s">
        <v>45</v>
      </c>
      <c r="AE123" s="1" t="s">
        <v>45</v>
      </c>
      <c r="AF123" s="1" t="s">
        <v>51</v>
      </c>
      <c r="AG123" s="1" t="s">
        <v>45</v>
      </c>
      <c r="AH123" s="1" t="s">
        <v>45</v>
      </c>
      <c r="AI123" s="1" t="s">
        <v>45</v>
      </c>
      <c r="AJ123" s="1" t="s">
        <v>45</v>
      </c>
      <c r="AK123" s="1" t="s">
        <v>45</v>
      </c>
      <c r="AL123" s="1" t="s">
        <v>49</v>
      </c>
      <c r="AM123" s="1" t="s">
        <v>49</v>
      </c>
      <c r="AN123" s="1">
        <v>0</v>
      </c>
      <c r="AO123" s="1">
        <v>0</v>
      </c>
      <c r="AP123" s="1">
        <v>0</v>
      </c>
    </row>
    <row r="124" spans="1:42" x14ac:dyDescent="0.25">
      <c r="A124" s="1" t="s">
        <v>658</v>
      </c>
      <c r="B124" s="1" t="s">
        <v>659</v>
      </c>
      <c r="C124" s="1" t="s">
        <v>660</v>
      </c>
      <c r="D124" s="1" t="str">
        <f>+C124</f>
        <v>KEYTEL S.A</v>
      </c>
      <c r="F124" s="1" t="s">
        <v>41</v>
      </c>
      <c r="G124" s="1" t="s">
        <v>42</v>
      </c>
      <c r="H124" s="1" t="s">
        <v>42</v>
      </c>
      <c r="I124" s="1" t="s">
        <v>43</v>
      </c>
      <c r="J124" s="1" t="s">
        <v>44</v>
      </c>
      <c r="K124" s="1" t="s">
        <v>45</v>
      </c>
      <c r="L124" s="1" t="s">
        <v>661</v>
      </c>
      <c r="M124" s="1" t="s">
        <v>92</v>
      </c>
      <c r="N124" s="1">
        <v>78</v>
      </c>
      <c r="O124" s="1" t="s">
        <v>45</v>
      </c>
      <c r="P124" s="1" t="s">
        <v>45</v>
      </c>
      <c r="Q124" s="1" t="s">
        <v>45</v>
      </c>
      <c r="R124" s="1" t="s">
        <v>49</v>
      </c>
      <c r="S124" s="1" t="s">
        <v>50</v>
      </c>
      <c r="T124" s="1" t="s">
        <v>50</v>
      </c>
      <c r="U124" s="1" t="s">
        <v>45</v>
      </c>
      <c r="V124" s="1" t="s">
        <v>45</v>
      </c>
      <c r="W124" s="1" t="s">
        <v>45</v>
      </c>
      <c r="X124" s="1" t="s">
        <v>45</v>
      </c>
      <c r="Y124" s="1" t="s">
        <v>45</v>
      </c>
      <c r="Z124" s="1">
        <v>0</v>
      </c>
      <c r="AA124" s="1" t="s">
        <v>45</v>
      </c>
      <c r="AB124" s="1" t="s">
        <v>45</v>
      </c>
      <c r="AC124" s="1" t="s">
        <v>45</v>
      </c>
      <c r="AD124" s="1" t="s">
        <v>45</v>
      </c>
      <c r="AE124" s="1" t="s">
        <v>45</v>
      </c>
      <c r="AF124" s="1" t="s">
        <v>51</v>
      </c>
      <c r="AG124" s="1" t="s">
        <v>45</v>
      </c>
      <c r="AH124" s="1" t="s">
        <v>45</v>
      </c>
      <c r="AI124" s="1" t="s">
        <v>45</v>
      </c>
      <c r="AJ124" s="1" t="s">
        <v>45</v>
      </c>
      <c r="AK124" s="1" t="s">
        <v>45</v>
      </c>
      <c r="AL124" s="1" t="s">
        <v>49</v>
      </c>
      <c r="AM124" s="1" t="s">
        <v>49</v>
      </c>
      <c r="AN124" s="1">
        <v>0</v>
      </c>
      <c r="AO124" s="1">
        <v>0</v>
      </c>
      <c r="AP124" s="1">
        <v>0</v>
      </c>
    </row>
    <row r="125" spans="1:42" x14ac:dyDescent="0.25">
      <c r="A125" s="1" t="s">
        <v>662</v>
      </c>
      <c r="B125" s="1" t="s">
        <v>663</v>
      </c>
      <c r="C125" s="1" t="s">
        <v>664</v>
      </c>
      <c r="D125" s="1" t="str">
        <f t="shared" si="9"/>
        <v>LAAZ ANGEL</v>
      </c>
      <c r="E125" s="1" t="str">
        <f t="shared" ref="E125:E130" si="19">RIGHT(C125, LEN(C125) - FIND(" ", C125, FIND(" ", C125, FIND(" ", C125) + 0) + 1))</f>
        <v>RAMON</v>
      </c>
      <c r="F125" s="1" t="s">
        <v>41</v>
      </c>
      <c r="G125" s="1" t="s">
        <v>42</v>
      </c>
      <c r="H125" s="1" t="s">
        <v>42</v>
      </c>
      <c r="I125" s="1" t="s">
        <v>43</v>
      </c>
      <c r="J125" s="1" t="s">
        <v>44</v>
      </c>
      <c r="K125" s="1" t="s">
        <v>45</v>
      </c>
      <c r="L125" s="1" t="s">
        <v>665</v>
      </c>
      <c r="M125" s="1" t="s">
        <v>97</v>
      </c>
      <c r="N125" s="1">
        <v>217</v>
      </c>
      <c r="O125" s="1" t="s">
        <v>666</v>
      </c>
      <c r="P125" s="1" t="s">
        <v>45</v>
      </c>
      <c r="Q125" s="1" t="s">
        <v>667</v>
      </c>
      <c r="R125" s="1" t="s">
        <v>49</v>
      </c>
      <c r="S125" s="1" t="s">
        <v>50</v>
      </c>
      <c r="T125" s="1" t="s">
        <v>50</v>
      </c>
      <c r="U125" s="1" t="s">
        <v>45</v>
      </c>
      <c r="V125" s="1" t="s">
        <v>45</v>
      </c>
      <c r="W125" s="1" t="s">
        <v>45</v>
      </c>
      <c r="X125" s="1" t="s">
        <v>45</v>
      </c>
      <c r="Y125" s="1" t="s">
        <v>45</v>
      </c>
      <c r="Z125" s="1">
        <v>0</v>
      </c>
      <c r="AA125" s="1" t="s">
        <v>45</v>
      </c>
      <c r="AB125" s="1" t="s">
        <v>45</v>
      </c>
      <c r="AC125" s="1" t="s">
        <v>45</v>
      </c>
      <c r="AD125" s="1" t="s">
        <v>45</v>
      </c>
      <c r="AE125" s="1" t="s">
        <v>45</v>
      </c>
      <c r="AF125" s="1" t="s">
        <v>51</v>
      </c>
      <c r="AG125" s="1" t="s">
        <v>45</v>
      </c>
      <c r="AH125" s="1" t="s">
        <v>45</v>
      </c>
      <c r="AI125" s="1" t="s">
        <v>45</v>
      </c>
      <c r="AJ125" s="1" t="s">
        <v>45</v>
      </c>
      <c r="AK125" s="1" t="s">
        <v>45</v>
      </c>
      <c r="AL125" s="1" t="s">
        <v>49</v>
      </c>
      <c r="AM125" s="1" t="s">
        <v>49</v>
      </c>
      <c r="AN125" s="1">
        <v>0</v>
      </c>
      <c r="AO125" s="1">
        <v>0</v>
      </c>
      <c r="AP125" s="1">
        <v>0</v>
      </c>
    </row>
    <row r="126" spans="1:42" x14ac:dyDescent="0.25">
      <c r="A126" s="1" t="s">
        <v>668</v>
      </c>
      <c r="B126" s="1" t="s">
        <v>669</v>
      </c>
      <c r="C126" s="1" t="s">
        <v>670</v>
      </c>
      <c r="D126" s="1" t="str">
        <f t="shared" si="9"/>
        <v>LARA REYES</v>
      </c>
      <c r="E126" s="1" t="str">
        <f t="shared" si="19"/>
        <v>SANTIAGO EDITOR</v>
      </c>
      <c r="F126" s="1" t="s">
        <v>41</v>
      </c>
      <c r="G126" s="1" t="s">
        <v>42</v>
      </c>
      <c r="H126" s="1" t="s">
        <v>42</v>
      </c>
      <c r="I126" s="1" t="s">
        <v>43</v>
      </c>
      <c r="J126" s="1" t="s">
        <v>44</v>
      </c>
      <c r="K126" s="1" t="s">
        <v>45</v>
      </c>
      <c r="L126" s="1" t="s">
        <v>214</v>
      </c>
      <c r="M126" s="1" t="s">
        <v>62</v>
      </c>
      <c r="N126" s="1">
        <v>3</v>
      </c>
      <c r="O126" s="1" t="s">
        <v>45</v>
      </c>
      <c r="P126" s="1" t="s">
        <v>45</v>
      </c>
      <c r="Q126" s="1" t="s">
        <v>45</v>
      </c>
      <c r="R126" s="1" t="s">
        <v>49</v>
      </c>
      <c r="S126" s="1" t="s">
        <v>50</v>
      </c>
      <c r="T126" s="1" t="s">
        <v>50</v>
      </c>
      <c r="U126" s="1" t="s">
        <v>45</v>
      </c>
      <c r="V126" s="1" t="s">
        <v>45</v>
      </c>
      <c r="W126" s="1" t="s">
        <v>45</v>
      </c>
      <c r="X126" s="1" t="s">
        <v>45</v>
      </c>
      <c r="Y126" s="1" t="s">
        <v>45</v>
      </c>
      <c r="Z126" s="1">
        <v>0</v>
      </c>
      <c r="AA126" s="1" t="s">
        <v>45</v>
      </c>
      <c r="AB126" s="1" t="s">
        <v>45</v>
      </c>
      <c r="AC126" s="1" t="s">
        <v>45</v>
      </c>
      <c r="AD126" s="1" t="s">
        <v>45</v>
      </c>
      <c r="AE126" s="1" t="s">
        <v>45</v>
      </c>
      <c r="AF126" s="1" t="s">
        <v>51</v>
      </c>
      <c r="AG126" s="1" t="s">
        <v>45</v>
      </c>
      <c r="AH126" s="1" t="s">
        <v>45</v>
      </c>
      <c r="AI126" s="1" t="s">
        <v>45</v>
      </c>
      <c r="AJ126" s="1" t="s">
        <v>45</v>
      </c>
      <c r="AK126" s="1" t="s">
        <v>45</v>
      </c>
      <c r="AL126" s="1" t="s">
        <v>49</v>
      </c>
      <c r="AM126" s="1" t="s">
        <v>49</v>
      </c>
      <c r="AN126" s="1">
        <v>0</v>
      </c>
      <c r="AO126" s="1">
        <v>0</v>
      </c>
      <c r="AP126" s="1">
        <v>0</v>
      </c>
    </row>
    <row r="127" spans="1:42" x14ac:dyDescent="0.25">
      <c r="A127" s="1" t="s">
        <v>671</v>
      </c>
      <c r="B127" s="1" t="s">
        <v>672</v>
      </c>
      <c r="C127" s="1" t="s">
        <v>673</v>
      </c>
      <c r="D127" s="1" t="str">
        <f>+C127</f>
        <v>LISTOSOFT</v>
      </c>
      <c r="F127" s="1" t="s">
        <v>41</v>
      </c>
      <c r="G127" s="1" t="s">
        <v>42</v>
      </c>
      <c r="H127" s="1" t="s">
        <v>42</v>
      </c>
      <c r="I127" s="1" t="s">
        <v>43</v>
      </c>
      <c r="J127" s="1" t="s">
        <v>44</v>
      </c>
      <c r="K127" s="1" t="s">
        <v>674</v>
      </c>
      <c r="L127" s="1" t="s">
        <v>675</v>
      </c>
      <c r="M127" s="1" t="s">
        <v>97</v>
      </c>
      <c r="N127" s="1">
        <v>217</v>
      </c>
      <c r="O127" s="1" t="s">
        <v>45</v>
      </c>
      <c r="P127" s="1" t="s">
        <v>45</v>
      </c>
      <c r="Q127" s="1" t="s">
        <v>676</v>
      </c>
      <c r="R127" s="1" t="s">
        <v>49</v>
      </c>
      <c r="S127" s="1" t="s">
        <v>50</v>
      </c>
      <c r="T127" s="1" t="s">
        <v>50</v>
      </c>
      <c r="U127" s="1" t="s">
        <v>45</v>
      </c>
      <c r="V127" s="1" t="s">
        <v>45</v>
      </c>
      <c r="W127" s="1" t="s">
        <v>45</v>
      </c>
      <c r="X127" s="1" t="s">
        <v>45</v>
      </c>
      <c r="Y127" s="1" t="s">
        <v>45</v>
      </c>
      <c r="Z127" s="1">
        <v>0</v>
      </c>
      <c r="AA127" s="1" t="s">
        <v>45</v>
      </c>
      <c r="AB127" s="1" t="s">
        <v>45</v>
      </c>
      <c r="AC127" s="1" t="s">
        <v>45</v>
      </c>
      <c r="AD127" s="1" t="s">
        <v>45</v>
      </c>
      <c r="AE127" s="1" t="s">
        <v>45</v>
      </c>
      <c r="AF127" s="1" t="s">
        <v>51</v>
      </c>
      <c r="AG127" s="1" t="s">
        <v>45</v>
      </c>
      <c r="AH127" s="1" t="s">
        <v>45</v>
      </c>
      <c r="AI127" s="1" t="s">
        <v>45</v>
      </c>
      <c r="AJ127" s="1" t="s">
        <v>45</v>
      </c>
      <c r="AK127" s="1" t="s">
        <v>45</v>
      </c>
      <c r="AL127" s="1" t="s">
        <v>49</v>
      </c>
      <c r="AM127" s="1" t="s">
        <v>49</v>
      </c>
      <c r="AN127" s="1">
        <v>0</v>
      </c>
      <c r="AO127" s="1">
        <v>0</v>
      </c>
      <c r="AP127" s="1">
        <v>0</v>
      </c>
    </row>
    <row r="128" spans="1:42" x14ac:dyDescent="0.25">
      <c r="A128" s="1" t="s">
        <v>677</v>
      </c>
      <c r="B128" s="1" t="s">
        <v>678</v>
      </c>
      <c r="C128" s="1" t="s">
        <v>679</v>
      </c>
      <c r="D128" s="1" t="str">
        <f t="shared" si="9"/>
        <v>LUCERO DELGADO</v>
      </c>
      <c r="E128" s="1" t="str">
        <f t="shared" si="19"/>
        <v>GERMAN ESTEBAN</v>
      </c>
      <c r="F128" s="1" t="s">
        <v>41</v>
      </c>
      <c r="G128" s="1" t="s">
        <v>42</v>
      </c>
      <c r="H128" s="1" t="s">
        <v>42</v>
      </c>
      <c r="I128" s="1" t="s">
        <v>43</v>
      </c>
      <c r="J128" s="1" t="s">
        <v>44</v>
      </c>
      <c r="K128" s="1" t="s">
        <v>45</v>
      </c>
      <c r="L128" s="1" t="s">
        <v>680</v>
      </c>
      <c r="M128" s="1" t="s">
        <v>681</v>
      </c>
      <c r="O128" s="1" t="s">
        <v>45</v>
      </c>
      <c r="P128" s="1" t="s">
        <v>45</v>
      </c>
      <c r="Q128" s="1" t="s">
        <v>682</v>
      </c>
      <c r="R128" s="1" t="s">
        <v>49</v>
      </c>
      <c r="S128" s="1" t="s">
        <v>50</v>
      </c>
      <c r="T128" s="1" t="s">
        <v>50</v>
      </c>
      <c r="U128" s="1" t="s">
        <v>45</v>
      </c>
      <c r="V128" s="1" t="s">
        <v>45</v>
      </c>
      <c r="W128" s="1" t="s">
        <v>45</v>
      </c>
      <c r="X128" s="1" t="s">
        <v>45</v>
      </c>
      <c r="Y128" s="1" t="s">
        <v>45</v>
      </c>
      <c r="Z128" s="1">
        <v>0</v>
      </c>
      <c r="AA128" s="1" t="s">
        <v>45</v>
      </c>
      <c r="AB128" s="1" t="s">
        <v>45</v>
      </c>
      <c r="AC128" s="1" t="s">
        <v>45</v>
      </c>
      <c r="AD128" s="1" t="s">
        <v>45</v>
      </c>
      <c r="AE128" s="1" t="s">
        <v>45</v>
      </c>
      <c r="AF128" s="1" t="s">
        <v>51</v>
      </c>
      <c r="AG128" s="1" t="s">
        <v>45</v>
      </c>
      <c r="AH128" s="1" t="s">
        <v>45</v>
      </c>
      <c r="AI128" s="1" t="s">
        <v>45</v>
      </c>
      <c r="AJ128" s="1" t="s">
        <v>45</v>
      </c>
      <c r="AK128" s="1" t="s">
        <v>45</v>
      </c>
      <c r="AL128" s="1" t="s">
        <v>49</v>
      </c>
      <c r="AM128" s="1" t="s">
        <v>49</v>
      </c>
      <c r="AN128" s="1">
        <v>0</v>
      </c>
      <c r="AO128" s="1">
        <v>0</v>
      </c>
      <c r="AP128" s="1">
        <v>0</v>
      </c>
    </row>
    <row r="129" spans="1:42" x14ac:dyDescent="0.25">
      <c r="A129" s="1" t="s">
        <v>683</v>
      </c>
      <c r="B129" s="1" t="s">
        <v>684</v>
      </c>
      <c r="C129" s="1" t="s">
        <v>685</v>
      </c>
      <c r="D129" s="1" t="str">
        <f t="shared" si="9"/>
        <v>MALDONADO MALDONADO</v>
      </c>
      <c r="E129" s="1" t="str">
        <f t="shared" si="19"/>
        <v>HONORIO SECUNDINO</v>
      </c>
      <c r="F129" s="1" t="s">
        <v>41</v>
      </c>
      <c r="G129" s="1" t="s">
        <v>42</v>
      </c>
      <c r="H129" s="1" t="s">
        <v>42</v>
      </c>
      <c r="I129" s="1" t="s">
        <v>43</v>
      </c>
      <c r="J129" s="1" t="s">
        <v>44</v>
      </c>
      <c r="K129" s="1" t="s">
        <v>45</v>
      </c>
      <c r="L129" s="1" t="s">
        <v>686</v>
      </c>
      <c r="M129" s="1" t="s">
        <v>62</v>
      </c>
      <c r="N129" s="1">
        <v>3</v>
      </c>
      <c r="O129" s="1" t="s">
        <v>45</v>
      </c>
      <c r="P129" s="1" t="s">
        <v>45</v>
      </c>
      <c r="Q129" s="1" t="s">
        <v>687</v>
      </c>
      <c r="R129" s="1" t="s">
        <v>49</v>
      </c>
      <c r="S129" s="1" t="s">
        <v>50</v>
      </c>
      <c r="T129" s="1" t="s">
        <v>50</v>
      </c>
      <c r="U129" s="1" t="s">
        <v>45</v>
      </c>
      <c r="V129" s="1" t="s">
        <v>45</v>
      </c>
      <c r="W129" s="1" t="s">
        <v>45</v>
      </c>
      <c r="X129" s="1" t="s">
        <v>45</v>
      </c>
      <c r="Y129" s="1" t="s">
        <v>45</v>
      </c>
      <c r="Z129" s="1">
        <v>0</v>
      </c>
      <c r="AA129" s="1" t="s">
        <v>45</v>
      </c>
      <c r="AB129" s="1" t="s">
        <v>45</v>
      </c>
      <c r="AC129" s="1" t="s">
        <v>45</v>
      </c>
      <c r="AD129" s="1" t="s">
        <v>45</v>
      </c>
      <c r="AE129" s="1" t="s">
        <v>45</v>
      </c>
      <c r="AF129" s="1" t="s">
        <v>51</v>
      </c>
      <c r="AG129" s="1" t="s">
        <v>45</v>
      </c>
      <c r="AH129" s="1" t="s">
        <v>45</v>
      </c>
      <c r="AI129" s="1" t="s">
        <v>45</v>
      </c>
      <c r="AJ129" s="1" t="s">
        <v>45</v>
      </c>
      <c r="AK129" s="1" t="s">
        <v>45</v>
      </c>
      <c r="AL129" s="1" t="s">
        <v>49</v>
      </c>
      <c r="AM129" s="1" t="s">
        <v>49</v>
      </c>
      <c r="AN129" s="1">
        <v>0</v>
      </c>
      <c r="AO129" s="1">
        <v>0</v>
      </c>
      <c r="AP129" s="1">
        <v>0</v>
      </c>
    </row>
    <row r="130" spans="1:42" x14ac:dyDescent="0.25">
      <c r="A130" s="1" t="s">
        <v>688</v>
      </c>
      <c r="B130" s="1" t="s">
        <v>689</v>
      </c>
      <c r="C130" s="1" t="s">
        <v>690</v>
      </c>
      <c r="D130" s="1" t="str">
        <f t="shared" si="9"/>
        <v>MALDONADO RODRIGUEZ</v>
      </c>
      <c r="E130" s="1" t="str">
        <f t="shared" si="19"/>
        <v>MAX ENRIQUE</v>
      </c>
      <c r="F130" s="1" t="s">
        <v>41</v>
      </c>
      <c r="G130" s="1" t="s">
        <v>42</v>
      </c>
      <c r="H130" s="1" t="s">
        <v>42</v>
      </c>
      <c r="I130" s="1" t="s">
        <v>43</v>
      </c>
      <c r="J130" s="1" t="s">
        <v>44</v>
      </c>
      <c r="K130" s="1" t="s">
        <v>45</v>
      </c>
      <c r="L130" s="1" t="s">
        <v>691</v>
      </c>
      <c r="M130" s="1" t="s">
        <v>421</v>
      </c>
      <c r="N130" s="1">
        <v>48</v>
      </c>
      <c r="O130" s="1" t="s">
        <v>45</v>
      </c>
      <c r="P130" s="1" t="s">
        <v>45</v>
      </c>
      <c r="Q130" s="1" t="s">
        <v>692</v>
      </c>
      <c r="R130" s="1" t="s">
        <v>49</v>
      </c>
      <c r="S130" s="1" t="s">
        <v>50</v>
      </c>
      <c r="T130" s="1" t="s">
        <v>50</v>
      </c>
      <c r="U130" s="1" t="s">
        <v>45</v>
      </c>
      <c r="V130" s="1" t="s">
        <v>45</v>
      </c>
      <c r="W130" s="1" t="s">
        <v>45</v>
      </c>
      <c r="X130" s="1" t="s">
        <v>45</v>
      </c>
      <c r="Y130" s="1" t="s">
        <v>45</v>
      </c>
      <c r="Z130" s="1">
        <v>0</v>
      </c>
      <c r="AA130" s="1" t="s">
        <v>45</v>
      </c>
      <c r="AB130" s="1" t="s">
        <v>45</v>
      </c>
      <c r="AC130" s="1" t="s">
        <v>45</v>
      </c>
      <c r="AD130" s="1" t="s">
        <v>45</v>
      </c>
      <c r="AE130" s="1" t="s">
        <v>45</v>
      </c>
      <c r="AF130" s="1" t="s">
        <v>51</v>
      </c>
      <c r="AG130" s="1" t="s">
        <v>45</v>
      </c>
      <c r="AH130" s="1" t="s">
        <v>45</v>
      </c>
      <c r="AI130" s="1" t="s">
        <v>45</v>
      </c>
      <c r="AJ130" s="1" t="s">
        <v>45</v>
      </c>
      <c r="AK130" s="1" t="s">
        <v>45</v>
      </c>
      <c r="AL130" s="1" t="s">
        <v>49</v>
      </c>
      <c r="AM130" s="1" t="s">
        <v>49</v>
      </c>
      <c r="AN130" s="1">
        <v>0</v>
      </c>
      <c r="AO130" s="1">
        <v>0</v>
      </c>
      <c r="AP130" s="1">
        <v>0</v>
      </c>
    </row>
    <row r="131" spans="1:42" x14ac:dyDescent="0.25">
      <c r="A131" s="1" t="s">
        <v>693</v>
      </c>
      <c r="B131" s="1" t="s">
        <v>694</v>
      </c>
      <c r="C131" s="1" t="s">
        <v>695</v>
      </c>
      <c r="D131" s="1" t="str">
        <f>+C131</f>
        <v>MEGAUNIMAC CIA .LTDA.</v>
      </c>
      <c r="F131" s="1" t="s">
        <v>41</v>
      </c>
      <c r="G131" s="1" t="s">
        <v>55</v>
      </c>
      <c r="H131" s="1" t="s">
        <v>42</v>
      </c>
      <c r="I131" s="1" t="s">
        <v>43</v>
      </c>
      <c r="J131" s="1" t="s">
        <v>44</v>
      </c>
      <c r="K131" s="1" t="s">
        <v>45</v>
      </c>
      <c r="L131" s="1" t="s">
        <v>696</v>
      </c>
      <c r="M131" s="1" t="s">
        <v>69</v>
      </c>
      <c r="N131" s="1">
        <v>58</v>
      </c>
      <c r="O131" s="1" t="s">
        <v>45</v>
      </c>
      <c r="P131" s="1" t="s">
        <v>45</v>
      </c>
      <c r="Q131" s="1" t="s">
        <v>697</v>
      </c>
      <c r="R131" s="1" t="s">
        <v>49</v>
      </c>
      <c r="S131" s="1" t="s">
        <v>50</v>
      </c>
      <c r="T131" s="1" t="s">
        <v>50</v>
      </c>
      <c r="U131" s="1" t="s">
        <v>45</v>
      </c>
      <c r="V131" s="1" t="s">
        <v>45</v>
      </c>
      <c r="W131" s="1" t="s">
        <v>45</v>
      </c>
      <c r="X131" s="1" t="s">
        <v>45</v>
      </c>
      <c r="Y131" s="1" t="s">
        <v>45</v>
      </c>
      <c r="Z131" s="1">
        <v>0</v>
      </c>
      <c r="AA131" s="1" t="s">
        <v>45</v>
      </c>
      <c r="AB131" s="1" t="s">
        <v>45</v>
      </c>
      <c r="AC131" s="1" t="s">
        <v>45</v>
      </c>
      <c r="AD131" s="1" t="s">
        <v>45</v>
      </c>
      <c r="AE131" s="1" t="s">
        <v>45</v>
      </c>
      <c r="AF131" s="1" t="s">
        <v>51</v>
      </c>
      <c r="AG131" s="1" t="s">
        <v>45</v>
      </c>
      <c r="AH131" s="1" t="s">
        <v>45</v>
      </c>
      <c r="AI131" s="1" t="s">
        <v>45</v>
      </c>
      <c r="AJ131" s="1" t="s">
        <v>45</v>
      </c>
      <c r="AK131" s="1" t="s">
        <v>45</v>
      </c>
      <c r="AL131" s="1" t="s">
        <v>49</v>
      </c>
      <c r="AM131" s="1" t="s">
        <v>49</v>
      </c>
      <c r="AN131" s="1">
        <v>0</v>
      </c>
      <c r="AO131" s="1">
        <v>0</v>
      </c>
      <c r="AP131" s="1">
        <v>0</v>
      </c>
    </row>
    <row r="132" spans="1:42" x14ac:dyDescent="0.25">
      <c r="A132" s="1" t="s">
        <v>698</v>
      </c>
      <c r="B132" s="1" t="s">
        <v>699</v>
      </c>
      <c r="C132" s="1" t="s">
        <v>700</v>
      </c>
      <c r="D132" s="1" t="str">
        <f t="shared" ref="D132:D190" si="20">LEFT(C132, FIND(" ", C132, FIND(" ", C132) + 1) - 1)</f>
        <v>MENDOZA LINDAO</v>
      </c>
      <c r="E132" s="1" t="str">
        <f>RIGHT(C132, LEN(C132) - FIND(" ", C132, FIND(" ", C132, FIND(" ", C132) + 0) + 1))</f>
        <v>VERONICA MARIA</v>
      </c>
      <c r="F132" s="1" t="s">
        <v>41</v>
      </c>
      <c r="G132" s="1" t="s">
        <v>42</v>
      </c>
      <c r="H132" s="1" t="s">
        <v>42</v>
      </c>
      <c r="I132" s="1" t="s">
        <v>43</v>
      </c>
      <c r="J132" s="1" t="s">
        <v>44</v>
      </c>
      <c r="K132" s="1" t="s">
        <v>45</v>
      </c>
      <c r="L132" s="1" t="s">
        <v>701</v>
      </c>
      <c r="M132" s="1" t="s">
        <v>62</v>
      </c>
      <c r="N132" s="1">
        <v>3</v>
      </c>
      <c r="O132" s="1" t="s">
        <v>45</v>
      </c>
      <c r="P132" s="1" t="s">
        <v>45</v>
      </c>
      <c r="Q132" s="1" t="s">
        <v>45</v>
      </c>
      <c r="R132" s="1" t="s">
        <v>49</v>
      </c>
      <c r="S132" s="1" t="s">
        <v>50</v>
      </c>
      <c r="T132" s="1" t="s">
        <v>50</v>
      </c>
      <c r="U132" s="1" t="s">
        <v>45</v>
      </c>
      <c r="V132" s="1" t="s">
        <v>45</v>
      </c>
      <c r="W132" s="1" t="s">
        <v>45</v>
      </c>
      <c r="X132" s="1" t="s">
        <v>45</v>
      </c>
      <c r="Y132" s="1" t="s">
        <v>45</v>
      </c>
      <c r="Z132" s="1">
        <v>0</v>
      </c>
      <c r="AA132" s="1" t="s">
        <v>45</v>
      </c>
      <c r="AB132" s="1" t="s">
        <v>45</v>
      </c>
      <c r="AC132" s="1" t="s">
        <v>45</v>
      </c>
      <c r="AD132" s="1" t="s">
        <v>45</v>
      </c>
      <c r="AE132" s="1" t="s">
        <v>45</v>
      </c>
      <c r="AF132" s="1" t="s">
        <v>51</v>
      </c>
      <c r="AG132" s="1" t="s">
        <v>45</v>
      </c>
      <c r="AH132" s="1" t="s">
        <v>45</v>
      </c>
      <c r="AI132" s="1" t="s">
        <v>45</v>
      </c>
      <c r="AJ132" s="1" t="s">
        <v>45</v>
      </c>
      <c r="AK132" s="1" t="s">
        <v>45</v>
      </c>
      <c r="AL132" s="1" t="s">
        <v>49</v>
      </c>
      <c r="AM132" s="1" t="s">
        <v>49</v>
      </c>
      <c r="AN132" s="1">
        <v>0</v>
      </c>
      <c r="AO132" s="1">
        <v>0</v>
      </c>
      <c r="AP132" s="1">
        <v>0</v>
      </c>
    </row>
    <row r="133" spans="1:42" x14ac:dyDescent="0.25">
      <c r="A133" s="1" t="s">
        <v>702</v>
      </c>
      <c r="B133" s="1" t="s">
        <v>703</v>
      </c>
      <c r="C133" s="1" t="s">
        <v>704</v>
      </c>
      <c r="D133" s="1" t="str">
        <f>+C133</f>
        <v>MI TIENDA REYES PESANTEZ Y COMPANIA</v>
      </c>
      <c r="F133" s="1" t="s">
        <v>41</v>
      </c>
      <c r="G133" s="1" t="s">
        <v>42</v>
      </c>
      <c r="H133" s="1" t="s">
        <v>42</v>
      </c>
      <c r="I133" s="1" t="s">
        <v>43</v>
      </c>
      <c r="J133" s="1" t="s">
        <v>44</v>
      </c>
      <c r="K133" s="1" t="s">
        <v>45</v>
      </c>
      <c r="L133" s="1" t="s">
        <v>705</v>
      </c>
      <c r="M133" s="1" t="s">
        <v>69</v>
      </c>
      <c r="N133" s="1">
        <v>58</v>
      </c>
      <c r="O133" s="1" t="s">
        <v>45</v>
      </c>
      <c r="P133" s="1" t="s">
        <v>45</v>
      </c>
      <c r="Q133" s="1" t="s">
        <v>45</v>
      </c>
      <c r="R133" s="1" t="s">
        <v>49</v>
      </c>
      <c r="S133" s="1" t="s">
        <v>50</v>
      </c>
      <c r="T133" s="1" t="s">
        <v>50</v>
      </c>
      <c r="U133" s="1" t="s">
        <v>45</v>
      </c>
      <c r="V133" s="1" t="s">
        <v>45</v>
      </c>
      <c r="W133" s="1" t="s">
        <v>45</v>
      </c>
      <c r="X133" s="1" t="s">
        <v>45</v>
      </c>
      <c r="Y133" s="1" t="s">
        <v>45</v>
      </c>
      <c r="Z133" s="1">
        <v>0</v>
      </c>
      <c r="AA133" s="1" t="s">
        <v>45</v>
      </c>
      <c r="AB133" s="1" t="s">
        <v>45</v>
      </c>
      <c r="AC133" s="1" t="s">
        <v>45</v>
      </c>
      <c r="AD133" s="1" t="s">
        <v>45</v>
      </c>
      <c r="AE133" s="1" t="s">
        <v>45</v>
      </c>
      <c r="AF133" s="1" t="s">
        <v>51</v>
      </c>
      <c r="AG133" s="1" t="s">
        <v>45</v>
      </c>
      <c r="AH133" s="1" t="s">
        <v>45</v>
      </c>
      <c r="AI133" s="1" t="s">
        <v>45</v>
      </c>
      <c r="AJ133" s="1" t="s">
        <v>45</v>
      </c>
      <c r="AK133" s="1" t="s">
        <v>45</v>
      </c>
      <c r="AL133" s="1" t="s">
        <v>49</v>
      </c>
      <c r="AM133" s="1" t="s">
        <v>49</v>
      </c>
      <c r="AN133" s="1">
        <v>0</v>
      </c>
      <c r="AO133" s="1">
        <v>0</v>
      </c>
      <c r="AP133" s="1">
        <v>0</v>
      </c>
    </row>
    <row r="134" spans="1:42" x14ac:dyDescent="0.25">
      <c r="A134" s="1" t="s">
        <v>706</v>
      </c>
      <c r="B134" s="1" t="s">
        <v>707</v>
      </c>
      <c r="C134" s="1" t="s">
        <v>708</v>
      </c>
      <c r="D134" s="1" t="str">
        <f t="shared" si="20"/>
        <v>MINUCHE TRUJILLO</v>
      </c>
      <c r="E134" s="1" t="str">
        <f t="shared" ref="E134:E136" si="21">RIGHT(C134, LEN(C134) - FIND(" ", C134, FIND(" ", C134, FIND(" ", C134) + 0) + 1))</f>
        <v>ROBERTO JAVIER ABRAHAM</v>
      </c>
      <c r="F134" s="1" t="s">
        <v>41</v>
      </c>
      <c r="G134" s="1" t="s">
        <v>42</v>
      </c>
      <c r="H134" s="1" t="s">
        <v>42</v>
      </c>
      <c r="I134" s="1" t="s">
        <v>43</v>
      </c>
      <c r="J134" s="1" t="s">
        <v>44</v>
      </c>
      <c r="K134" s="1" t="s">
        <v>45</v>
      </c>
      <c r="L134" s="1" t="s">
        <v>709</v>
      </c>
      <c r="M134" s="1" t="s">
        <v>62</v>
      </c>
      <c r="N134" s="1">
        <v>3</v>
      </c>
      <c r="O134" s="1" t="s">
        <v>45</v>
      </c>
      <c r="P134" s="1" t="s">
        <v>45</v>
      </c>
      <c r="Q134" s="1" t="s">
        <v>710</v>
      </c>
      <c r="R134" s="1" t="s">
        <v>49</v>
      </c>
      <c r="S134" s="1" t="s">
        <v>50</v>
      </c>
      <c r="T134" s="1" t="s">
        <v>50</v>
      </c>
      <c r="U134" s="1" t="s">
        <v>45</v>
      </c>
      <c r="V134" s="1" t="s">
        <v>45</v>
      </c>
      <c r="W134" s="1" t="s">
        <v>45</v>
      </c>
      <c r="X134" s="1" t="s">
        <v>45</v>
      </c>
      <c r="Y134" s="1" t="s">
        <v>45</v>
      </c>
      <c r="Z134" s="1">
        <v>0</v>
      </c>
      <c r="AA134" s="1" t="s">
        <v>45</v>
      </c>
      <c r="AB134" s="1" t="s">
        <v>45</v>
      </c>
      <c r="AC134" s="1" t="s">
        <v>45</v>
      </c>
      <c r="AD134" s="1" t="s">
        <v>45</v>
      </c>
      <c r="AE134" s="1" t="s">
        <v>45</v>
      </c>
      <c r="AF134" s="1" t="s">
        <v>51</v>
      </c>
      <c r="AG134" s="1" t="s">
        <v>45</v>
      </c>
      <c r="AH134" s="1" t="s">
        <v>45</v>
      </c>
      <c r="AI134" s="1" t="s">
        <v>45</v>
      </c>
      <c r="AJ134" s="1" t="s">
        <v>45</v>
      </c>
      <c r="AK134" s="1" t="s">
        <v>45</v>
      </c>
      <c r="AL134" s="1" t="s">
        <v>49</v>
      </c>
      <c r="AM134" s="1" t="s">
        <v>49</v>
      </c>
      <c r="AN134" s="1">
        <v>0</v>
      </c>
      <c r="AO134" s="1">
        <v>0</v>
      </c>
      <c r="AP134" s="1">
        <v>0</v>
      </c>
    </row>
    <row r="135" spans="1:42" x14ac:dyDescent="0.25">
      <c r="A135" s="1" t="s">
        <v>711</v>
      </c>
      <c r="B135" s="1" t="s">
        <v>712</v>
      </c>
      <c r="C135" s="1" t="s">
        <v>713</v>
      </c>
      <c r="D135" s="1" t="str">
        <f t="shared" si="20"/>
        <v>MIRANDA FAJARDO</v>
      </c>
      <c r="E135" s="1" t="str">
        <f t="shared" si="21"/>
        <v>VICTOR MIRANNDA</v>
      </c>
      <c r="F135" s="1" t="s">
        <v>41</v>
      </c>
      <c r="G135" s="1" t="s">
        <v>42</v>
      </c>
      <c r="H135" s="1" t="s">
        <v>42</v>
      </c>
      <c r="I135" s="1" t="s">
        <v>43</v>
      </c>
      <c r="J135" s="1" t="s">
        <v>44</v>
      </c>
      <c r="K135" s="1" t="s">
        <v>45</v>
      </c>
      <c r="L135" s="1" t="s">
        <v>714</v>
      </c>
      <c r="M135" s="1" t="s">
        <v>69</v>
      </c>
      <c r="N135" s="1">
        <v>58</v>
      </c>
      <c r="O135" s="1" t="s">
        <v>715</v>
      </c>
      <c r="P135" s="1" t="s">
        <v>45</v>
      </c>
      <c r="Q135" s="1" t="s">
        <v>45</v>
      </c>
      <c r="R135" s="1" t="s">
        <v>49</v>
      </c>
      <c r="S135" s="1" t="s">
        <v>50</v>
      </c>
      <c r="T135" s="1" t="s">
        <v>50</v>
      </c>
      <c r="U135" s="1" t="s">
        <v>45</v>
      </c>
      <c r="V135" s="1" t="s">
        <v>45</v>
      </c>
      <c r="W135" s="1" t="s">
        <v>45</v>
      </c>
      <c r="X135" s="1" t="s">
        <v>45</v>
      </c>
      <c r="Y135" s="1" t="s">
        <v>45</v>
      </c>
      <c r="Z135" s="1">
        <v>0</v>
      </c>
      <c r="AA135" s="1" t="s">
        <v>45</v>
      </c>
      <c r="AB135" s="1" t="s">
        <v>45</v>
      </c>
      <c r="AC135" s="1" t="s">
        <v>45</v>
      </c>
      <c r="AD135" s="1" t="s">
        <v>45</v>
      </c>
      <c r="AE135" s="1" t="s">
        <v>45</v>
      </c>
      <c r="AF135" s="1" t="s">
        <v>51</v>
      </c>
      <c r="AG135" s="1" t="s">
        <v>45</v>
      </c>
      <c r="AH135" s="1" t="s">
        <v>45</v>
      </c>
      <c r="AI135" s="1" t="s">
        <v>45</v>
      </c>
      <c r="AJ135" s="1" t="s">
        <v>45</v>
      </c>
      <c r="AK135" s="1" t="s">
        <v>45</v>
      </c>
      <c r="AL135" s="1" t="s">
        <v>49</v>
      </c>
      <c r="AM135" s="1" t="s">
        <v>49</v>
      </c>
      <c r="AN135" s="1">
        <v>0</v>
      </c>
      <c r="AO135" s="1">
        <v>0</v>
      </c>
      <c r="AP135" s="1">
        <v>0</v>
      </c>
    </row>
    <row r="136" spans="1:42" x14ac:dyDescent="0.25">
      <c r="A136" s="1" t="s">
        <v>716</v>
      </c>
      <c r="B136" s="1" t="s">
        <v>717</v>
      </c>
      <c r="C136" s="1" t="s">
        <v>718</v>
      </c>
      <c r="D136" s="1" t="str">
        <f t="shared" si="20"/>
        <v>MOLINA ANGELINA</v>
      </c>
      <c r="E136" s="1" t="str">
        <f t="shared" si="21"/>
        <v>DEL CARMEN</v>
      </c>
      <c r="F136" s="1" t="s">
        <v>41</v>
      </c>
      <c r="G136" s="1" t="s">
        <v>42</v>
      </c>
      <c r="H136" s="1" t="s">
        <v>42</v>
      </c>
      <c r="I136" s="1" t="s">
        <v>43</v>
      </c>
      <c r="J136" s="1" t="s">
        <v>44</v>
      </c>
      <c r="K136" s="1" t="s">
        <v>45</v>
      </c>
      <c r="L136" s="1" t="s">
        <v>719</v>
      </c>
      <c r="M136" s="1" t="s">
        <v>62</v>
      </c>
      <c r="N136" s="1">
        <v>3</v>
      </c>
      <c r="O136" s="1" t="s">
        <v>45</v>
      </c>
      <c r="P136" s="1" t="s">
        <v>45</v>
      </c>
      <c r="Q136" s="1" t="s">
        <v>45</v>
      </c>
      <c r="R136" s="1" t="s">
        <v>49</v>
      </c>
      <c r="S136" s="1" t="s">
        <v>50</v>
      </c>
      <c r="T136" s="1" t="s">
        <v>50</v>
      </c>
      <c r="U136" s="1" t="s">
        <v>45</v>
      </c>
      <c r="V136" s="1" t="s">
        <v>45</v>
      </c>
      <c r="W136" s="1" t="s">
        <v>45</v>
      </c>
      <c r="X136" s="1" t="s">
        <v>45</v>
      </c>
      <c r="Y136" s="1" t="s">
        <v>45</v>
      </c>
      <c r="Z136" s="1">
        <v>0</v>
      </c>
      <c r="AA136" s="1" t="s">
        <v>45</v>
      </c>
      <c r="AB136" s="1" t="s">
        <v>45</v>
      </c>
      <c r="AC136" s="1" t="s">
        <v>45</v>
      </c>
      <c r="AD136" s="1" t="s">
        <v>45</v>
      </c>
      <c r="AE136" s="1" t="s">
        <v>45</v>
      </c>
      <c r="AF136" s="1" t="s">
        <v>51</v>
      </c>
      <c r="AG136" s="1" t="s">
        <v>45</v>
      </c>
      <c r="AH136" s="1" t="s">
        <v>45</v>
      </c>
      <c r="AI136" s="1" t="s">
        <v>45</v>
      </c>
      <c r="AJ136" s="1" t="s">
        <v>45</v>
      </c>
      <c r="AK136" s="1" t="s">
        <v>720</v>
      </c>
      <c r="AL136" s="1" t="s">
        <v>49</v>
      </c>
      <c r="AM136" s="1" t="s">
        <v>49</v>
      </c>
      <c r="AN136" s="1">
        <v>0</v>
      </c>
      <c r="AO136" s="1">
        <v>0</v>
      </c>
      <c r="AP136" s="1">
        <v>0</v>
      </c>
    </row>
    <row r="137" spans="1:42" x14ac:dyDescent="0.25">
      <c r="A137" s="1" t="s">
        <v>721</v>
      </c>
      <c r="B137" s="1" t="s">
        <v>722</v>
      </c>
      <c r="C137" s="1" t="s">
        <v>723</v>
      </c>
      <c r="D137" s="1" t="str">
        <f>+C137</f>
        <v>MORA MARICH CIA.LTDA</v>
      </c>
      <c r="F137" s="1" t="s">
        <v>41</v>
      </c>
      <c r="G137" s="1" t="s">
        <v>42</v>
      </c>
      <c r="H137" s="1" t="s">
        <v>42</v>
      </c>
      <c r="I137" s="1" t="s">
        <v>43</v>
      </c>
      <c r="J137" s="1" t="s">
        <v>44</v>
      </c>
      <c r="K137" s="1" t="s">
        <v>45</v>
      </c>
      <c r="L137" s="1" t="s">
        <v>724</v>
      </c>
      <c r="M137" s="1" t="s">
        <v>69</v>
      </c>
      <c r="N137" s="1">
        <v>58</v>
      </c>
      <c r="O137" s="1" t="s">
        <v>45</v>
      </c>
      <c r="P137" s="1" t="s">
        <v>45</v>
      </c>
      <c r="Q137" s="1" t="s">
        <v>725</v>
      </c>
      <c r="R137" s="1" t="s">
        <v>49</v>
      </c>
      <c r="S137" s="1" t="s">
        <v>50</v>
      </c>
      <c r="T137" s="1" t="s">
        <v>50</v>
      </c>
      <c r="U137" s="1" t="s">
        <v>45</v>
      </c>
      <c r="V137" s="1" t="s">
        <v>45</v>
      </c>
      <c r="W137" s="1" t="s">
        <v>45</v>
      </c>
      <c r="X137" s="1" t="s">
        <v>45</v>
      </c>
      <c r="Y137" s="1" t="s">
        <v>45</v>
      </c>
      <c r="Z137" s="1">
        <v>0</v>
      </c>
      <c r="AA137" s="1" t="s">
        <v>45</v>
      </c>
      <c r="AB137" s="1" t="s">
        <v>45</v>
      </c>
      <c r="AC137" s="1" t="s">
        <v>45</v>
      </c>
      <c r="AD137" s="1" t="s">
        <v>45</v>
      </c>
      <c r="AE137" s="1" t="s">
        <v>45</v>
      </c>
      <c r="AF137" s="1" t="s">
        <v>51</v>
      </c>
      <c r="AG137" s="1" t="s">
        <v>45</v>
      </c>
      <c r="AH137" s="1" t="s">
        <v>45</v>
      </c>
      <c r="AI137" s="1" t="s">
        <v>45</v>
      </c>
      <c r="AJ137" s="1" t="s">
        <v>45</v>
      </c>
      <c r="AK137" s="1" t="s">
        <v>45</v>
      </c>
      <c r="AL137" s="1" t="s">
        <v>49</v>
      </c>
      <c r="AM137" s="1" t="s">
        <v>49</v>
      </c>
      <c r="AN137" s="1">
        <v>0</v>
      </c>
      <c r="AO137" s="1">
        <v>0</v>
      </c>
      <c r="AP137" s="1">
        <v>0</v>
      </c>
    </row>
    <row r="138" spans="1:42" x14ac:dyDescent="0.25">
      <c r="A138" s="1" t="s">
        <v>726</v>
      </c>
      <c r="B138" s="1" t="s">
        <v>727</v>
      </c>
      <c r="C138" s="1" t="s">
        <v>728</v>
      </c>
      <c r="D138" s="1" t="str">
        <f t="shared" si="20"/>
        <v>MORA SANCHEZ</v>
      </c>
      <c r="E138" s="1" t="str">
        <f t="shared" ref="E138:E144" si="22">RIGHT(C138, LEN(C138) - FIND(" ", C138, FIND(" ", C138, FIND(" ", C138) + 0) + 1))</f>
        <v>VERONICA PAOLA</v>
      </c>
      <c r="F138" s="1" t="s">
        <v>41</v>
      </c>
      <c r="G138" s="1" t="s">
        <v>42</v>
      </c>
      <c r="H138" s="1" t="s">
        <v>42</v>
      </c>
      <c r="I138" s="1" t="s">
        <v>43</v>
      </c>
      <c r="J138" s="1" t="s">
        <v>44</v>
      </c>
      <c r="K138" s="1" t="s">
        <v>518</v>
      </c>
      <c r="L138" s="1" t="s">
        <v>729</v>
      </c>
      <c r="M138" s="1" t="s">
        <v>62</v>
      </c>
      <c r="N138" s="1">
        <v>3</v>
      </c>
      <c r="O138" s="1" t="s">
        <v>45</v>
      </c>
      <c r="P138" s="1" t="s">
        <v>45</v>
      </c>
      <c r="Q138" s="1" t="s">
        <v>730</v>
      </c>
      <c r="R138" s="1" t="s">
        <v>49</v>
      </c>
      <c r="S138" s="1" t="s">
        <v>50</v>
      </c>
      <c r="T138" s="1" t="s">
        <v>50</v>
      </c>
      <c r="U138" s="1" t="s">
        <v>45</v>
      </c>
      <c r="V138" s="1" t="s">
        <v>45</v>
      </c>
      <c r="W138" s="1" t="s">
        <v>45</v>
      </c>
      <c r="X138" s="1" t="s">
        <v>45</v>
      </c>
      <c r="Y138" s="1" t="s">
        <v>45</v>
      </c>
      <c r="Z138" s="1">
        <v>0</v>
      </c>
      <c r="AA138" s="1" t="s">
        <v>45</v>
      </c>
      <c r="AB138" s="1" t="s">
        <v>45</v>
      </c>
      <c r="AC138" s="1" t="s">
        <v>45</v>
      </c>
      <c r="AD138" s="1" t="s">
        <v>45</v>
      </c>
      <c r="AE138" s="1" t="s">
        <v>45</v>
      </c>
      <c r="AF138" s="1" t="s">
        <v>51</v>
      </c>
      <c r="AG138" s="1" t="s">
        <v>45</v>
      </c>
      <c r="AH138" s="1" t="s">
        <v>45</v>
      </c>
      <c r="AI138" s="1" t="s">
        <v>45</v>
      </c>
      <c r="AJ138" s="1" t="s">
        <v>45</v>
      </c>
      <c r="AK138" s="1" t="s">
        <v>45</v>
      </c>
      <c r="AL138" s="1" t="s">
        <v>49</v>
      </c>
      <c r="AM138" s="1" t="s">
        <v>49</v>
      </c>
      <c r="AN138" s="1">
        <v>0</v>
      </c>
      <c r="AO138" s="1">
        <v>0</v>
      </c>
      <c r="AP138" s="1">
        <v>0</v>
      </c>
    </row>
    <row r="139" spans="1:42" x14ac:dyDescent="0.25">
      <c r="A139" s="1" t="s">
        <v>731</v>
      </c>
      <c r="B139" s="1" t="s">
        <v>732</v>
      </c>
      <c r="C139" s="1" t="s">
        <v>733</v>
      </c>
      <c r="D139" s="1" t="str">
        <f t="shared" si="20"/>
        <v>MORAN PACAJI</v>
      </c>
      <c r="E139" s="1" t="str">
        <f t="shared" si="22"/>
        <v>ARTURO ENRIQUE</v>
      </c>
      <c r="F139" s="1" t="s">
        <v>41</v>
      </c>
      <c r="G139" s="1" t="s">
        <v>42</v>
      </c>
      <c r="H139" s="1" t="s">
        <v>42</v>
      </c>
      <c r="I139" s="1" t="s">
        <v>43</v>
      </c>
      <c r="J139" s="1" t="s">
        <v>44</v>
      </c>
      <c r="K139" s="1" t="s">
        <v>45</v>
      </c>
      <c r="L139" s="1" t="s">
        <v>734</v>
      </c>
      <c r="M139" s="1" t="s">
        <v>69</v>
      </c>
      <c r="N139" s="1">
        <v>58</v>
      </c>
      <c r="O139" s="1" t="s">
        <v>45</v>
      </c>
      <c r="P139" s="1" t="s">
        <v>45</v>
      </c>
      <c r="Q139" s="1" t="s">
        <v>735</v>
      </c>
      <c r="R139" s="1" t="s">
        <v>49</v>
      </c>
      <c r="S139" s="1" t="s">
        <v>50</v>
      </c>
      <c r="T139" s="1" t="s">
        <v>50</v>
      </c>
      <c r="U139" s="1" t="s">
        <v>45</v>
      </c>
      <c r="V139" s="1" t="s">
        <v>45</v>
      </c>
      <c r="W139" s="1" t="s">
        <v>45</v>
      </c>
      <c r="X139" s="1" t="s">
        <v>45</v>
      </c>
      <c r="Y139" s="1" t="s">
        <v>45</v>
      </c>
      <c r="Z139" s="1">
        <v>0</v>
      </c>
      <c r="AA139" s="1" t="s">
        <v>45</v>
      </c>
      <c r="AB139" s="1" t="s">
        <v>45</v>
      </c>
      <c r="AC139" s="1" t="s">
        <v>45</v>
      </c>
      <c r="AD139" s="1" t="s">
        <v>45</v>
      </c>
      <c r="AE139" s="1" t="s">
        <v>45</v>
      </c>
      <c r="AF139" s="1" t="s">
        <v>51</v>
      </c>
      <c r="AG139" s="1" t="s">
        <v>45</v>
      </c>
      <c r="AH139" s="1" t="s">
        <v>45</v>
      </c>
      <c r="AI139" s="1" t="s">
        <v>45</v>
      </c>
      <c r="AJ139" s="1" t="s">
        <v>45</v>
      </c>
      <c r="AK139" s="1" t="s">
        <v>736</v>
      </c>
      <c r="AL139" s="1" t="s">
        <v>49</v>
      </c>
      <c r="AM139" s="1" t="s">
        <v>49</v>
      </c>
      <c r="AN139" s="1">
        <v>0</v>
      </c>
      <c r="AO139" s="1">
        <v>0</v>
      </c>
      <c r="AP139" s="1">
        <v>0</v>
      </c>
    </row>
    <row r="140" spans="1:42" x14ac:dyDescent="0.25">
      <c r="A140" s="1" t="s">
        <v>737</v>
      </c>
      <c r="B140" s="1" t="s">
        <v>738</v>
      </c>
      <c r="C140" s="1" t="s">
        <v>739</v>
      </c>
      <c r="D140" s="1" t="str">
        <f t="shared" si="20"/>
        <v>MOREIRA BLACIO</v>
      </c>
      <c r="E140" s="1" t="str">
        <f t="shared" si="22"/>
        <v>ROOSEBERT ANTONIO</v>
      </c>
      <c r="F140" s="1" t="s">
        <v>41</v>
      </c>
      <c r="G140" s="1" t="s">
        <v>42</v>
      </c>
      <c r="H140" s="1" t="s">
        <v>42</v>
      </c>
      <c r="I140" s="1" t="s">
        <v>43</v>
      </c>
      <c r="J140" s="1" t="s">
        <v>44</v>
      </c>
      <c r="K140" s="1" t="s">
        <v>45</v>
      </c>
      <c r="L140" s="1" t="s">
        <v>214</v>
      </c>
      <c r="M140" s="1" t="s">
        <v>69</v>
      </c>
      <c r="N140" s="1">
        <v>58</v>
      </c>
      <c r="O140" s="1" t="s">
        <v>45</v>
      </c>
      <c r="P140" s="1" t="s">
        <v>45</v>
      </c>
      <c r="Q140" s="1" t="s">
        <v>740</v>
      </c>
      <c r="R140" s="1" t="s">
        <v>49</v>
      </c>
      <c r="S140" s="1" t="s">
        <v>50</v>
      </c>
      <c r="T140" s="1" t="s">
        <v>50</v>
      </c>
      <c r="U140" s="1" t="s">
        <v>45</v>
      </c>
      <c r="V140" s="1" t="s">
        <v>45</v>
      </c>
      <c r="W140" s="1" t="s">
        <v>45</v>
      </c>
      <c r="X140" s="1" t="s">
        <v>45</v>
      </c>
      <c r="Y140" s="1" t="s">
        <v>45</v>
      </c>
      <c r="Z140" s="1">
        <v>0</v>
      </c>
      <c r="AA140" s="1" t="s">
        <v>45</v>
      </c>
      <c r="AB140" s="1" t="s">
        <v>45</v>
      </c>
      <c r="AC140" s="1" t="s">
        <v>45</v>
      </c>
      <c r="AD140" s="1" t="s">
        <v>45</v>
      </c>
      <c r="AE140" s="1" t="s">
        <v>45</v>
      </c>
      <c r="AF140" s="1" t="s">
        <v>51</v>
      </c>
      <c r="AG140" s="1" t="s">
        <v>45</v>
      </c>
      <c r="AH140" s="1" t="s">
        <v>45</v>
      </c>
      <c r="AI140" s="1" t="s">
        <v>45</v>
      </c>
      <c r="AJ140" s="1" t="s">
        <v>45</v>
      </c>
      <c r="AK140" s="1" t="s">
        <v>741</v>
      </c>
      <c r="AL140" s="1" t="s">
        <v>49</v>
      </c>
      <c r="AM140" s="1" t="s">
        <v>49</v>
      </c>
      <c r="AN140" s="1">
        <v>0</v>
      </c>
      <c r="AO140" s="1">
        <v>0</v>
      </c>
      <c r="AP140" s="1">
        <v>0</v>
      </c>
    </row>
    <row r="141" spans="1:42" x14ac:dyDescent="0.25">
      <c r="A141" s="1" t="s">
        <v>742</v>
      </c>
      <c r="B141" s="1" t="s">
        <v>743</v>
      </c>
      <c r="C141" s="1" t="s">
        <v>744</v>
      </c>
      <c r="D141" s="1" t="str">
        <f t="shared" si="20"/>
        <v>MOSQUERA CAJAMARCA</v>
      </c>
      <c r="E141" s="1" t="str">
        <f t="shared" si="22"/>
        <v>HUGO GERMAN</v>
      </c>
      <c r="F141" s="1" t="s">
        <v>41</v>
      </c>
      <c r="G141" s="1" t="s">
        <v>42</v>
      </c>
      <c r="H141" s="1" t="s">
        <v>42</v>
      </c>
      <c r="I141" s="1" t="s">
        <v>43</v>
      </c>
      <c r="J141" s="1" t="s">
        <v>44</v>
      </c>
      <c r="K141" s="1" t="s">
        <v>45</v>
      </c>
      <c r="L141" s="1" t="s">
        <v>745</v>
      </c>
      <c r="M141" s="1" t="s">
        <v>69</v>
      </c>
      <c r="N141" s="1">
        <v>58</v>
      </c>
      <c r="O141" s="1" t="s">
        <v>45</v>
      </c>
      <c r="P141" s="1" t="s">
        <v>45</v>
      </c>
      <c r="Q141" s="1" t="s">
        <v>45</v>
      </c>
      <c r="R141" s="1" t="s">
        <v>49</v>
      </c>
      <c r="S141" s="1" t="s">
        <v>50</v>
      </c>
      <c r="T141" s="1" t="s">
        <v>50</v>
      </c>
      <c r="U141" s="1" t="s">
        <v>45</v>
      </c>
      <c r="V141" s="1" t="s">
        <v>45</v>
      </c>
      <c r="W141" s="1" t="s">
        <v>45</v>
      </c>
      <c r="X141" s="1" t="s">
        <v>45</v>
      </c>
      <c r="Y141" s="1" t="s">
        <v>45</v>
      </c>
      <c r="Z141" s="1">
        <v>0</v>
      </c>
      <c r="AA141" s="1" t="s">
        <v>45</v>
      </c>
      <c r="AB141" s="1" t="s">
        <v>45</v>
      </c>
      <c r="AC141" s="1" t="s">
        <v>45</v>
      </c>
      <c r="AD141" s="1" t="s">
        <v>45</v>
      </c>
      <c r="AE141" s="1" t="s">
        <v>45</v>
      </c>
      <c r="AF141" s="1" t="s">
        <v>51</v>
      </c>
      <c r="AG141" s="1" t="s">
        <v>45</v>
      </c>
      <c r="AH141" s="1" t="s">
        <v>45</v>
      </c>
      <c r="AI141" s="1" t="s">
        <v>45</v>
      </c>
      <c r="AJ141" s="1" t="s">
        <v>45</v>
      </c>
      <c r="AK141" s="1" t="s">
        <v>45</v>
      </c>
      <c r="AL141" s="1" t="s">
        <v>49</v>
      </c>
      <c r="AM141" s="1" t="s">
        <v>49</v>
      </c>
      <c r="AN141" s="1">
        <v>0</v>
      </c>
      <c r="AO141" s="1">
        <v>0</v>
      </c>
      <c r="AP141" s="1">
        <v>0</v>
      </c>
    </row>
    <row r="142" spans="1:42" x14ac:dyDescent="0.25">
      <c r="A142" s="1" t="s">
        <v>746</v>
      </c>
      <c r="B142" s="1" t="s">
        <v>747</v>
      </c>
      <c r="C142" s="1" t="s">
        <v>1173</v>
      </c>
      <c r="D142" s="1" t="str">
        <f t="shared" si="20"/>
        <v>MUÑOZ VERIÑAZ</v>
      </c>
      <c r="E142" s="1" t="str">
        <f t="shared" si="22"/>
        <v>LUIS ESTUARDO</v>
      </c>
      <c r="F142" s="1" t="s">
        <v>41</v>
      </c>
      <c r="G142" s="1" t="s">
        <v>42</v>
      </c>
      <c r="H142" s="1" t="s">
        <v>42</v>
      </c>
      <c r="I142" s="1" t="s">
        <v>43</v>
      </c>
      <c r="J142" s="1" t="s">
        <v>44</v>
      </c>
      <c r="K142" s="1" t="s">
        <v>45</v>
      </c>
      <c r="L142" s="1" t="s">
        <v>748</v>
      </c>
      <c r="M142" s="1" t="s">
        <v>69</v>
      </c>
      <c r="N142" s="1">
        <v>58</v>
      </c>
      <c r="O142" s="1" t="s">
        <v>45</v>
      </c>
      <c r="P142" s="1" t="s">
        <v>45</v>
      </c>
      <c r="Q142" s="1" t="s">
        <v>749</v>
      </c>
      <c r="R142" s="1" t="s">
        <v>49</v>
      </c>
      <c r="S142" s="1" t="s">
        <v>50</v>
      </c>
      <c r="T142" s="1" t="s">
        <v>50</v>
      </c>
      <c r="U142" s="1" t="s">
        <v>45</v>
      </c>
      <c r="V142" s="1" t="s">
        <v>45</v>
      </c>
      <c r="W142" s="1" t="s">
        <v>45</v>
      </c>
      <c r="X142" s="1" t="s">
        <v>45</v>
      </c>
      <c r="Y142" s="1" t="s">
        <v>45</v>
      </c>
      <c r="Z142" s="1">
        <v>0</v>
      </c>
      <c r="AA142" s="1" t="s">
        <v>45</v>
      </c>
      <c r="AB142" s="1" t="s">
        <v>45</v>
      </c>
      <c r="AC142" s="1" t="s">
        <v>45</v>
      </c>
      <c r="AD142" s="1" t="s">
        <v>45</v>
      </c>
      <c r="AE142" s="1" t="s">
        <v>45</v>
      </c>
      <c r="AF142" s="1" t="s">
        <v>51</v>
      </c>
      <c r="AG142" s="1" t="s">
        <v>45</v>
      </c>
      <c r="AH142" s="1" t="s">
        <v>45</v>
      </c>
      <c r="AI142" s="1" t="s">
        <v>45</v>
      </c>
      <c r="AJ142" s="1" t="s">
        <v>45</v>
      </c>
      <c r="AK142" s="1" t="s">
        <v>750</v>
      </c>
      <c r="AL142" s="1" t="s">
        <v>49</v>
      </c>
      <c r="AM142" s="1" t="s">
        <v>49</v>
      </c>
      <c r="AN142" s="1">
        <v>0</v>
      </c>
      <c r="AO142" s="1">
        <v>0</v>
      </c>
      <c r="AP142" s="1">
        <v>0</v>
      </c>
    </row>
    <row r="143" spans="1:42" x14ac:dyDescent="0.25">
      <c r="A143" s="1" t="s">
        <v>751</v>
      </c>
      <c r="B143" s="1" t="s">
        <v>752</v>
      </c>
      <c r="C143" s="1" t="s">
        <v>753</v>
      </c>
      <c r="D143" s="1" t="str">
        <f t="shared" si="20"/>
        <v>NAGUAS PARRA</v>
      </c>
      <c r="E143" s="1" t="str">
        <f t="shared" si="22"/>
        <v>JEFFERSON ELIECER</v>
      </c>
      <c r="F143" s="1" t="s">
        <v>41</v>
      </c>
      <c r="G143" s="1" t="s">
        <v>42</v>
      </c>
      <c r="H143" s="1" t="s">
        <v>42</v>
      </c>
      <c r="I143" s="1" t="s">
        <v>43</v>
      </c>
      <c r="J143" s="1" t="s">
        <v>44</v>
      </c>
      <c r="K143" s="1" t="s">
        <v>45</v>
      </c>
      <c r="L143" s="1" t="s">
        <v>754</v>
      </c>
      <c r="M143" s="1" t="s">
        <v>47</v>
      </c>
      <c r="N143" s="1">
        <v>134</v>
      </c>
      <c r="O143" s="1" t="s">
        <v>755</v>
      </c>
      <c r="P143" s="1" t="s">
        <v>45</v>
      </c>
      <c r="Q143" s="1" t="s">
        <v>45</v>
      </c>
      <c r="R143" s="1" t="s">
        <v>49</v>
      </c>
      <c r="S143" s="1" t="s">
        <v>50</v>
      </c>
      <c r="T143" s="1" t="s">
        <v>50</v>
      </c>
      <c r="U143" s="1" t="s">
        <v>45</v>
      </c>
      <c r="V143" s="1" t="s">
        <v>45</v>
      </c>
      <c r="W143" s="1" t="s">
        <v>45</v>
      </c>
      <c r="X143" s="1" t="s">
        <v>45</v>
      </c>
      <c r="Y143" s="1" t="s">
        <v>45</v>
      </c>
      <c r="Z143" s="1">
        <v>0</v>
      </c>
      <c r="AA143" s="1" t="s">
        <v>45</v>
      </c>
      <c r="AB143" s="1" t="s">
        <v>45</v>
      </c>
      <c r="AC143" s="1" t="s">
        <v>45</v>
      </c>
      <c r="AD143" s="1" t="s">
        <v>45</v>
      </c>
      <c r="AE143" s="1" t="s">
        <v>45</v>
      </c>
      <c r="AF143" s="1" t="s">
        <v>51</v>
      </c>
      <c r="AG143" s="1" t="s">
        <v>45</v>
      </c>
      <c r="AH143" s="1" t="s">
        <v>45</v>
      </c>
      <c r="AI143" s="1" t="s">
        <v>45</v>
      </c>
      <c r="AJ143" s="1" t="s">
        <v>45</v>
      </c>
      <c r="AK143" s="1" t="s">
        <v>45</v>
      </c>
      <c r="AL143" s="1" t="s">
        <v>49</v>
      </c>
      <c r="AM143" s="1" t="s">
        <v>49</v>
      </c>
      <c r="AN143" s="1">
        <v>0</v>
      </c>
      <c r="AO143" s="1">
        <v>0</v>
      </c>
      <c r="AP143" s="1">
        <v>0</v>
      </c>
    </row>
    <row r="144" spans="1:42" x14ac:dyDescent="0.25">
      <c r="A144" s="1" t="s">
        <v>756</v>
      </c>
      <c r="B144" s="1" t="s">
        <v>757</v>
      </c>
      <c r="C144" s="1" t="s">
        <v>758</v>
      </c>
      <c r="D144" s="1" t="str">
        <f t="shared" si="20"/>
        <v>NARANJO SALASAR</v>
      </c>
      <c r="E144" s="1" t="str">
        <f t="shared" si="22"/>
        <v>JENNER CESAR</v>
      </c>
      <c r="F144" s="1" t="s">
        <v>41</v>
      </c>
      <c r="G144" s="1" t="s">
        <v>42</v>
      </c>
      <c r="H144" s="1" t="s">
        <v>42</v>
      </c>
      <c r="I144" s="1" t="s">
        <v>43</v>
      </c>
      <c r="J144" s="1" t="s">
        <v>44</v>
      </c>
      <c r="K144" s="1" t="s">
        <v>45</v>
      </c>
      <c r="L144" s="1" t="s">
        <v>759</v>
      </c>
      <c r="M144" s="1" t="s">
        <v>97</v>
      </c>
      <c r="N144" s="1">
        <v>217</v>
      </c>
      <c r="O144" s="1" t="s">
        <v>45</v>
      </c>
      <c r="P144" s="1" t="s">
        <v>45</v>
      </c>
      <c r="Q144" s="1" t="s">
        <v>760</v>
      </c>
      <c r="R144" s="1" t="s">
        <v>49</v>
      </c>
      <c r="S144" s="1" t="s">
        <v>50</v>
      </c>
      <c r="T144" s="1" t="s">
        <v>50</v>
      </c>
      <c r="U144" s="1" t="s">
        <v>45</v>
      </c>
      <c r="V144" s="1" t="s">
        <v>45</v>
      </c>
      <c r="W144" s="1" t="s">
        <v>45</v>
      </c>
      <c r="X144" s="1" t="s">
        <v>45</v>
      </c>
      <c r="Y144" s="1" t="s">
        <v>45</v>
      </c>
      <c r="Z144" s="1">
        <v>0</v>
      </c>
      <c r="AA144" s="1" t="s">
        <v>45</v>
      </c>
      <c r="AB144" s="1" t="s">
        <v>45</v>
      </c>
      <c r="AC144" s="1" t="s">
        <v>45</v>
      </c>
      <c r="AD144" s="1" t="s">
        <v>45</v>
      </c>
      <c r="AE144" s="1" t="s">
        <v>45</v>
      </c>
      <c r="AF144" s="1" t="s">
        <v>51</v>
      </c>
      <c r="AG144" s="1" t="s">
        <v>45</v>
      </c>
      <c r="AH144" s="1" t="s">
        <v>45</v>
      </c>
      <c r="AI144" s="1" t="s">
        <v>45</v>
      </c>
      <c r="AJ144" s="1" t="s">
        <v>45</v>
      </c>
      <c r="AK144" s="1" t="s">
        <v>45</v>
      </c>
      <c r="AL144" s="1" t="s">
        <v>49</v>
      </c>
      <c r="AM144" s="1" t="s">
        <v>49</v>
      </c>
      <c r="AN144" s="1">
        <v>0</v>
      </c>
      <c r="AO144" s="1">
        <v>0</v>
      </c>
      <c r="AP144" s="1">
        <v>0</v>
      </c>
    </row>
    <row r="145" spans="1:42" x14ac:dyDescent="0.25">
      <c r="A145" s="1" t="s">
        <v>761</v>
      </c>
      <c r="B145" s="1" t="s">
        <v>762</v>
      </c>
      <c r="C145" s="1" t="s">
        <v>763</v>
      </c>
      <c r="D145" s="1" t="str">
        <f>+C145</f>
        <v>NAUDYFLOWER S.A.S.</v>
      </c>
      <c r="F145" s="1" t="s">
        <v>41</v>
      </c>
      <c r="G145" s="1" t="s">
        <v>42</v>
      </c>
      <c r="H145" s="1" t="s">
        <v>42</v>
      </c>
      <c r="I145" s="1" t="s">
        <v>43</v>
      </c>
      <c r="J145" s="1" t="s">
        <v>44</v>
      </c>
      <c r="K145" s="1" t="s">
        <v>45</v>
      </c>
      <c r="L145" s="1" t="s">
        <v>764</v>
      </c>
      <c r="M145" s="1" t="s">
        <v>765</v>
      </c>
      <c r="N145" s="1">
        <v>81</v>
      </c>
      <c r="O145" s="1" t="s">
        <v>45</v>
      </c>
      <c r="P145" s="1" t="s">
        <v>45</v>
      </c>
      <c r="Q145" s="1" t="s">
        <v>766</v>
      </c>
      <c r="R145" s="1" t="s">
        <v>49</v>
      </c>
      <c r="S145" s="1" t="s">
        <v>50</v>
      </c>
      <c r="T145" s="1" t="s">
        <v>50</v>
      </c>
      <c r="U145" s="1" t="s">
        <v>45</v>
      </c>
      <c r="V145" s="1" t="s">
        <v>45</v>
      </c>
      <c r="W145" s="1" t="s">
        <v>45</v>
      </c>
      <c r="X145" s="1" t="s">
        <v>45</v>
      </c>
      <c r="Y145" s="1" t="s">
        <v>45</v>
      </c>
      <c r="Z145" s="1">
        <v>0</v>
      </c>
      <c r="AA145" s="1" t="s">
        <v>45</v>
      </c>
      <c r="AB145" s="1" t="s">
        <v>45</v>
      </c>
      <c r="AC145" s="1" t="s">
        <v>45</v>
      </c>
      <c r="AD145" s="1" t="s">
        <v>45</v>
      </c>
      <c r="AE145" s="1" t="s">
        <v>45</v>
      </c>
      <c r="AF145" s="1" t="s">
        <v>51</v>
      </c>
      <c r="AG145" s="1" t="s">
        <v>45</v>
      </c>
      <c r="AH145" s="1" t="s">
        <v>45</v>
      </c>
      <c r="AI145" s="1" t="s">
        <v>45</v>
      </c>
      <c r="AJ145" s="1" t="s">
        <v>45</v>
      </c>
      <c r="AK145" s="1" t="s">
        <v>45</v>
      </c>
      <c r="AL145" s="1" t="s">
        <v>49</v>
      </c>
      <c r="AM145" s="1" t="s">
        <v>49</v>
      </c>
      <c r="AN145" s="1">
        <v>0</v>
      </c>
      <c r="AO145" s="1">
        <v>0</v>
      </c>
      <c r="AP145" s="1">
        <v>0</v>
      </c>
    </row>
    <row r="146" spans="1:42" x14ac:dyDescent="0.25">
      <c r="A146" s="1" t="s">
        <v>767</v>
      </c>
      <c r="B146" s="1" t="s">
        <v>768</v>
      </c>
      <c r="C146" s="1" t="s">
        <v>769</v>
      </c>
      <c r="D146" s="1" t="str">
        <f t="shared" si="20"/>
        <v>NAVARRETE CHALEN</v>
      </c>
      <c r="E146" s="1" t="str">
        <f t="shared" ref="E146:E149" si="23">RIGHT(C146, LEN(C146) - FIND(" ", C146, FIND(" ", C146, FIND(" ", C146) + 0) + 1))</f>
        <v>CRISTHIAN EDISON</v>
      </c>
      <c r="F146" s="1" t="s">
        <v>41</v>
      </c>
      <c r="G146" s="1" t="s">
        <v>42</v>
      </c>
      <c r="H146" s="1" t="s">
        <v>42</v>
      </c>
      <c r="I146" s="1" t="s">
        <v>43</v>
      </c>
      <c r="J146" s="1" t="s">
        <v>44</v>
      </c>
      <c r="K146" s="1" t="s">
        <v>45</v>
      </c>
      <c r="L146" s="1" t="s">
        <v>770</v>
      </c>
      <c r="M146" s="1" t="s">
        <v>69</v>
      </c>
      <c r="N146" s="1">
        <v>58</v>
      </c>
      <c r="O146" s="1" t="s">
        <v>45</v>
      </c>
      <c r="P146" s="1" t="s">
        <v>45</v>
      </c>
      <c r="Q146" s="1" t="s">
        <v>771</v>
      </c>
      <c r="R146" s="1" t="s">
        <v>49</v>
      </c>
      <c r="S146" s="1" t="s">
        <v>50</v>
      </c>
      <c r="T146" s="1" t="s">
        <v>50</v>
      </c>
      <c r="U146" s="1" t="s">
        <v>45</v>
      </c>
      <c r="V146" s="1" t="s">
        <v>45</v>
      </c>
      <c r="W146" s="1" t="s">
        <v>45</v>
      </c>
      <c r="X146" s="1" t="s">
        <v>45</v>
      </c>
      <c r="Y146" s="1" t="s">
        <v>45</v>
      </c>
      <c r="Z146" s="1">
        <v>0</v>
      </c>
      <c r="AA146" s="1" t="s">
        <v>45</v>
      </c>
      <c r="AB146" s="1" t="s">
        <v>45</v>
      </c>
      <c r="AC146" s="1" t="s">
        <v>45</v>
      </c>
      <c r="AD146" s="1" t="s">
        <v>45</v>
      </c>
      <c r="AE146" s="1" t="s">
        <v>45</v>
      </c>
      <c r="AF146" s="1" t="s">
        <v>51</v>
      </c>
      <c r="AG146" s="1" t="s">
        <v>45</v>
      </c>
      <c r="AH146" s="1" t="s">
        <v>45</v>
      </c>
      <c r="AI146" s="1" t="s">
        <v>45</v>
      </c>
      <c r="AJ146" s="1" t="s">
        <v>45</v>
      </c>
      <c r="AK146" s="1" t="s">
        <v>45</v>
      </c>
      <c r="AL146" s="1" t="s">
        <v>49</v>
      </c>
      <c r="AM146" s="1" t="s">
        <v>49</v>
      </c>
      <c r="AN146" s="1">
        <v>0</v>
      </c>
      <c r="AO146" s="1">
        <v>0</v>
      </c>
      <c r="AP146" s="1">
        <v>0</v>
      </c>
    </row>
    <row r="147" spans="1:42" x14ac:dyDescent="0.25">
      <c r="A147" s="1" t="s">
        <v>772</v>
      </c>
      <c r="B147" s="1" t="s">
        <v>773</v>
      </c>
      <c r="C147" s="1" t="s">
        <v>774</v>
      </c>
      <c r="D147" s="1" t="str">
        <f t="shared" si="20"/>
        <v>NAVARRETE LEON</v>
      </c>
      <c r="E147" s="1" t="str">
        <f t="shared" si="23"/>
        <v>HENRY FERNANDA</v>
      </c>
      <c r="F147" s="1" t="s">
        <v>41</v>
      </c>
      <c r="G147" s="1" t="s">
        <v>42</v>
      </c>
      <c r="H147" s="1" t="s">
        <v>42</v>
      </c>
      <c r="I147" s="1" t="s">
        <v>43</v>
      </c>
      <c r="J147" s="1" t="s">
        <v>44</v>
      </c>
      <c r="K147" s="1" t="s">
        <v>45</v>
      </c>
      <c r="L147" s="1" t="s">
        <v>775</v>
      </c>
      <c r="M147" s="1" t="s">
        <v>62</v>
      </c>
      <c r="N147" s="1">
        <v>3</v>
      </c>
      <c r="O147" s="1" t="s">
        <v>45</v>
      </c>
      <c r="P147" s="1" t="s">
        <v>45</v>
      </c>
      <c r="Q147" s="1" t="s">
        <v>45</v>
      </c>
      <c r="R147" s="1" t="s">
        <v>49</v>
      </c>
      <c r="S147" s="1" t="s">
        <v>50</v>
      </c>
      <c r="T147" s="1" t="s">
        <v>50</v>
      </c>
      <c r="U147" s="1" t="s">
        <v>45</v>
      </c>
      <c r="V147" s="1" t="s">
        <v>45</v>
      </c>
      <c r="W147" s="1" t="s">
        <v>45</v>
      </c>
      <c r="X147" s="1" t="s">
        <v>45</v>
      </c>
      <c r="Y147" s="1" t="s">
        <v>45</v>
      </c>
      <c r="Z147" s="1">
        <v>0</v>
      </c>
      <c r="AA147" s="1" t="s">
        <v>45</v>
      </c>
      <c r="AB147" s="1" t="s">
        <v>45</v>
      </c>
      <c r="AC147" s="1" t="s">
        <v>45</v>
      </c>
      <c r="AD147" s="1" t="s">
        <v>45</v>
      </c>
      <c r="AE147" s="1" t="s">
        <v>45</v>
      </c>
      <c r="AF147" s="1" t="s">
        <v>51</v>
      </c>
      <c r="AG147" s="1" t="s">
        <v>45</v>
      </c>
      <c r="AH147" s="1" t="s">
        <v>45</v>
      </c>
      <c r="AI147" s="1" t="s">
        <v>45</v>
      </c>
      <c r="AJ147" s="1" t="s">
        <v>45</v>
      </c>
      <c r="AK147" s="1" t="s">
        <v>45</v>
      </c>
      <c r="AL147" s="1" t="s">
        <v>49</v>
      </c>
      <c r="AM147" s="1" t="s">
        <v>49</v>
      </c>
      <c r="AN147" s="1">
        <v>0</v>
      </c>
      <c r="AO147" s="1">
        <v>0</v>
      </c>
      <c r="AP147" s="1">
        <v>0</v>
      </c>
    </row>
    <row r="148" spans="1:42" x14ac:dyDescent="0.25">
      <c r="A148" s="1" t="s">
        <v>776</v>
      </c>
      <c r="B148" s="1" t="s">
        <v>777</v>
      </c>
      <c r="C148" s="1" t="s">
        <v>778</v>
      </c>
      <c r="D148" s="1" t="str">
        <f t="shared" si="20"/>
        <v>OJEDA PALAS</v>
      </c>
      <c r="E148" s="1" t="str">
        <f t="shared" si="23"/>
        <v>CARLOS DAVID</v>
      </c>
      <c r="F148" s="1" t="s">
        <v>41</v>
      </c>
      <c r="G148" s="1" t="s">
        <v>42</v>
      </c>
      <c r="H148" s="1" t="s">
        <v>42</v>
      </c>
      <c r="I148" s="1" t="s">
        <v>43</v>
      </c>
      <c r="J148" s="1" t="s">
        <v>44</v>
      </c>
      <c r="K148" s="1" t="s">
        <v>45</v>
      </c>
      <c r="L148" s="1" t="s">
        <v>779</v>
      </c>
      <c r="M148" s="1" t="s">
        <v>97</v>
      </c>
      <c r="N148" s="1">
        <v>217</v>
      </c>
      <c r="O148" s="1" t="s">
        <v>45</v>
      </c>
      <c r="P148" s="1" t="s">
        <v>45</v>
      </c>
      <c r="Q148" s="1" t="s">
        <v>45</v>
      </c>
      <c r="R148" s="1" t="s">
        <v>49</v>
      </c>
      <c r="S148" s="1" t="s">
        <v>50</v>
      </c>
      <c r="T148" s="1" t="s">
        <v>50</v>
      </c>
      <c r="U148" s="1" t="s">
        <v>45</v>
      </c>
      <c r="V148" s="1" t="s">
        <v>45</v>
      </c>
      <c r="W148" s="1" t="s">
        <v>45</v>
      </c>
      <c r="X148" s="1" t="s">
        <v>45</v>
      </c>
      <c r="Y148" s="1" t="s">
        <v>45</v>
      </c>
      <c r="Z148" s="1">
        <v>0</v>
      </c>
      <c r="AA148" s="1" t="s">
        <v>45</v>
      </c>
      <c r="AB148" s="1" t="s">
        <v>45</v>
      </c>
      <c r="AC148" s="1" t="s">
        <v>45</v>
      </c>
      <c r="AD148" s="1" t="s">
        <v>45</v>
      </c>
      <c r="AE148" s="1" t="s">
        <v>45</v>
      </c>
      <c r="AF148" s="1" t="s">
        <v>51</v>
      </c>
      <c r="AG148" s="1" t="s">
        <v>45</v>
      </c>
      <c r="AH148" s="1" t="s">
        <v>45</v>
      </c>
      <c r="AI148" s="1" t="s">
        <v>45</v>
      </c>
      <c r="AJ148" s="1" t="s">
        <v>45</v>
      </c>
      <c r="AK148" s="1" t="s">
        <v>780</v>
      </c>
      <c r="AL148" s="1" t="s">
        <v>49</v>
      </c>
      <c r="AM148" s="1" t="s">
        <v>49</v>
      </c>
      <c r="AN148" s="1">
        <v>0</v>
      </c>
      <c r="AO148" s="1">
        <v>0</v>
      </c>
      <c r="AP148" s="1">
        <v>0</v>
      </c>
    </row>
    <row r="149" spans="1:42" x14ac:dyDescent="0.25">
      <c r="A149" s="1" t="s">
        <v>781</v>
      </c>
      <c r="B149" s="1" t="s">
        <v>782</v>
      </c>
      <c r="C149" s="1" t="s">
        <v>1174</v>
      </c>
      <c r="D149" s="1" t="str">
        <f t="shared" si="20"/>
        <v>ORDOÑEZ RAMON</v>
      </c>
      <c r="E149" s="1" t="str">
        <f t="shared" si="23"/>
        <v>VITO MIGUEL</v>
      </c>
      <c r="F149" s="1" t="s">
        <v>41</v>
      </c>
      <c r="G149" s="1" t="s">
        <v>42</v>
      </c>
      <c r="H149" s="1" t="s">
        <v>42</v>
      </c>
      <c r="I149" s="1" t="s">
        <v>43</v>
      </c>
      <c r="J149" s="1" t="s">
        <v>44</v>
      </c>
      <c r="K149" s="1" t="s">
        <v>45</v>
      </c>
      <c r="L149" s="1" t="s">
        <v>783</v>
      </c>
      <c r="M149" s="1" t="s">
        <v>62</v>
      </c>
      <c r="N149" s="1">
        <v>3</v>
      </c>
      <c r="O149" s="1" t="s">
        <v>45</v>
      </c>
      <c r="P149" s="1" t="s">
        <v>45</v>
      </c>
      <c r="Q149" s="1" t="s">
        <v>784</v>
      </c>
      <c r="R149" s="1" t="s">
        <v>49</v>
      </c>
      <c r="S149" s="1" t="s">
        <v>50</v>
      </c>
      <c r="T149" s="1" t="s">
        <v>50</v>
      </c>
      <c r="U149" s="1" t="s">
        <v>45</v>
      </c>
      <c r="V149" s="1" t="s">
        <v>45</v>
      </c>
      <c r="W149" s="1" t="s">
        <v>45</v>
      </c>
      <c r="X149" s="1" t="s">
        <v>45</v>
      </c>
      <c r="Y149" s="1" t="s">
        <v>45</v>
      </c>
      <c r="Z149" s="1">
        <v>0</v>
      </c>
      <c r="AA149" s="1" t="s">
        <v>45</v>
      </c>
      <c r="AB149" s="1" t="s">
        <v>45</v>
      </c>
      <c r="AC149" s="1" t="s">
        <v>45</v>
      </c>
      <c r="AD149" s="1" t="s">
        <v>45</v>
      </c>
      <c r="AE149" s="1" t="s">
        <v>45</v>
      </c>
      <c r="AF149" s="1" t="s">
        <v>51</v>
      </c>
      <c r="AG149" s="1" t="s">
        <v>45</v>
      </c>
      <c r="AH149" s="1" t="s">
        <v>45</v>
      </c>
      <c r="AI149" s="1" t="s">
        <v>45</v>
      </c>
      <c r="AJ149" s="1" t="s">
        <v>45</v>
      </c>
      <c r="AK149" s="1" t="s">
        <v>45</v>
      </c>
      <c r="AL149" s="1" t="s">
        <v>49</v>
      </c>
      <c r="AM149" s="1" t="s">
        <v>49</v>
      </c>
      <c r="AN149" s="1">
        <v>0</v>
      </c>
      <c r="AO149" s="1">
        <v>0</v>
      </c>
      <c r="AP149" s="1">
        <v>0</v>
      </c>
    </row>
    <row r="150" spans="1:42" x14ac:dyDescent="0.25">
      <c r="A150" s="1" t="s">
        <v>785</v>
      </c>
      <c r="B150" s="1" t="s">
        <v>786</v>
      </c>
      <c r="C150" s="1" t="s">
        <v>787</v>
      </c>
      <c r="D150" s="1" t="str">
        <f>+C150</f>
        <v>ORODIESEL C LTDA</v>
      </c>
      <c r="F150" s="1" t="s">
        <v>41</v>
      </c>
      <c r="G150" s="1" t="s">
        <v>42</v>
      </c>
      <c r="H150" s="1" t="s">
        <v>42</v>
      </c>
      <c r="I150" s="1" t="s">
        <v>43</v>
      </c>
      <c r="J150" s="1" t="s">
        <v>44</v>
      </c>
      <c r="K150" s="1" t="s">
        <v>788</v>
      </c>
      <c r="L150" s="1" t="s">
        <v>787</v>
      </c>
      <c r="M150" s="1" t="s">
        <v>62</v>
      </c>
      <c r="N150" s="1">
        <v>3</v>
      </c>
      <c r="O150" s="1" t="s">
        <v>45</v>
      </c>
      <c r="P150" s="1" t="s">
        <v>45</v>
      </c>
      <c r="Q150" s="1" t="s">
        <v>789</v>
      </c>
      <c r="R150" s="1" t="s">
        <v>49</v>
      </c>
      <c r="S150" s="1" t="s">
        <v>50</v>
      </c>
      <c r="T150" s="1" t="s">
        <v>50</v>
      </c>
      <c r="U150" s="1" t="s">
        <v>45</v>
      </c>
      <c r="V150" s="1" t="s">
        <v>45</v>
      </c>
      <c r="W150" s="1" t="s">
        <v>45</v>
      </c>
      <c r="X150" s="1" t="s">
        <v>45</v>
      </c>
      <c r="Y150" s="1" t="s">
        <v>45</v>
      </c>
      <c r="Z150" s="1">
        <v>0</v>
      </c>
      <c r="AA150" s="1" t="s">
        <v>45</v>
      </c>
      <c r="AB150" s="1" t="s">
        <v>45</v>
      </c>
      <c r="AC150" s="1" t="s">
        <v>45</v>
      </c>
      <c r="AD150" s="1" t="s">
        <v>45</v>
      </c>
      <c r="AE150" s="1" t="s">
        <v>45</v>
      </c>
      <c r="AF150" s="1" t="s">
        <v>51</v>
      </c>
      <c r="AG150" s="1" t="s">
        <v>45</v>
      </c>
      <c r="AH150" s="1" t="s">
        <v>45</v>
      </c>
      <c r="AI150" s="1" t="s">
        <v>45</v>
      </c>
      <c r="AJ150" s="1" t="s">
        <v>45</v>
      </c>
      <c r="AK150" s="1" t="s">
        <v>45</v>
      </c>
      <c r="AL150" s="1" t="s">
        <v>49</v>
      </c>
      <c r="AM150" s="1" t="s">
        <v>49</v>
      </c>
      <c r="AN150" s="1">
        <v>0</v>
      </c>
      <c r="AO150" s="1">
        <v>0</v>
      </c>
      <c r="AP150" s="1">
        <v>0</v>
      </c>
    </row>
    <row r="151" spans="1:42" x14ac:dyDescent="0.25">
      <c r="A151" s="1" t="s">
        <v>790</v>
      </c>
      <c r="B151" s="1" t="s">
        <v>791</v>
      </c>
      <c r="C151" s="1" t="s">
        <v>792</v>
      </c>
      <c r="D151" s="1" t="str">
        <f t="shared" si="20"/>
        <v>ORTIZ SALAZAR</v>
      </c>
      <c r="E151" s="1" t="str">
        <f t="shared" ref="E151:E161" si="24">RIGHT(C151, LEN(C151) - FIND(" ", C151, FIND(" ", C151, FIND(" ", C151) + 0) + 1))</f>
        <v>BETTY ARACELY</v>
      </c>
      <c r="F151" s="1" t="s">
        <v>41</v>
      </c>
      <c r="G151" s="1" t="s">
        <v>42</v>
      </c>
      <c r="H151" s="1" t="s">
        <v>42</v>
      </c>
      <c r="I151" s="1" t="s">
        <v>43</v>
      </c>
      <c r="J151" s="1" t="s">
        <v>44</v>
      </c>
      <c r="K151" s="1" t="s">
        <v>45</v>
      </c>
      <c r="L151" s="1" t="s">
        <v>793</v>
      </c>
      <c r="M151" s="1" t="s">
        <v>69</v>
      </c>
      <c r="N151" s="1">
        <v>58</v>
      </c>
      <c r="O151" s="1" t="s">
        <v>45</v>
      </c>
      <c r="P151" s="1" t="s">
        <v>45</v>
      </c>
      <c r="Q151" s="1" t="s">
        <v>45</v>
      </c>
      <c r="R151" s="1" t="s">
        <v>49</v>
      </c>
      <c r="S151" s="1" t="s">
        <v>50</v>
      </c>
      <c r="T151" s="1" t="s">
        <v>50</v>
      </c>
      <c r="U151" s="1" t="s">
        <v>45</v>
      </c>
      <c r="V151" s="1" t="s">
        <v>45</v>
      </c>
      <c r="W151" s="1" t="s">
        <v>45</v>
      </c>
      <c r="X151" s="1" t="s">
        <v>45</v>
      </c>
      <c r="Y151" s="1" t="s">
        <v>45</v>
      </c>
      <c r="Z151" s="1">
        <v>0</v>
      </c>
      <c r="AA151" s="1" t="s">
        <v>45</v>
      </c>
      <c r="AB151" s="1" t="s">
        <v>45</v>
      </c>
      <c r="AC151" s="1" t="s">
        <v>45</v>
      </c>
      <c r="AD151" s="1" t="s">
        <v>45</v>
      </c>
      <c r="AE151" s="1" t="s">
        <v>45</v>
      </c>
      <c r="AF151" s="1" t="s">
        <v>51</v>
      </c>
      <c r="AG151" s="1" t="s">
        <v>45</v>
      </c>
      <c r="AH151" s="1" t="s">
        <v>45</v>
      </c>
      <c r="AI151" s="1" t="s">
        <v>45</v>
      </c>
      <c r="AJ151" s="1" t="s">
        <v>45</v>
      </c>
      <c r="AK151" s="1" t="s">
        <v>794</v>
      </c>
      <c r="AL151" s="1" t="s">
        <v>49</v>
      </c>
      <c r="AM151" s="1" t="s">
        <v>49</v>
      </c>
      <c r="AN151" s="1">
        <v>0</v>
      </c>
      <c r="AO151" s="1">
        <v>0</v>
      </c>
      <c r="AP151" s="1">
        <v>0</v>
      </c>
    </row>
    <row r="152" spans="1:42" x14ac:dyDescent="0.25">
      <c r="A152" s="1" t="s">
        <v>795</v>
      </c>
      <c r="B152" s="1" t="s">
        <v>796</v>
      </c>
      <c r="C152" s="1" t="s">
        <v>797</v>
      </c>
      <c r="D152" s="1" t="str">
        <f t="shared" si="20"/>
        <v>PACHAR MANTOANO</v>
      </c>
      <c r="E152" s="1" t="str">
        <f t="shared" si="24"/>
        <v>GLADYS MIRELLA</v>
      </c>
      <c r="F152" s="1" t="s">
        <v>41</v>
      </c>
      <c r="G152" s="1" t="s">
        <v>42</v>
      </c>
      <c r="H152" s="1" t="s">
        <v>42</v>
      </c>
      <c r="I152" s="1" t="s">
        <v>43</v>
      </c>
      <c r="J152" s="1" t="s">
        <v>44</v>
      </c>
      <c r="K152" s="1" t="s">
        <v>798</v>
      </c>
      <c r="L152" s="1" t="s">
        <v>799</v>
      </c>
      <c r="M152" s="1" t="s">
        <v>69</v>
      </c>
      <c r="N152" s="1">
        <v>58</v>
      </c>
      <c r="O152" s="1" t="s">
        <v>45</v>
      </c>
      <c r="P152" s="1" t="s">
        <v>45</v>
      </c>
      <c r="Q152" s="1" t="s">
        <v>800</v>
      </c>
      <c r="R152" s="1" t="s">
        <v>49</v>
      </c>
      <c r="S152" s="1" t="s">
        <v>50</v>
      </c>
      <c r="T152" s="1" t="s">
        <v>50</v>
      </c>
      <c r="U152" s="1" t="s">
        <v>45</v>
      </c>
      <c r="V152" s="1" t="s">
        <v>45</v>
      </c>
      <c r="W152" s="1" t="s">
        <v>45</v>
      </c>
      <c r="X152" s="1" t="s">
        <v>45</v>
      </c>
      <c r="Y152" s="1" t="s">
        <v>45</v>
      </c>
      <c r="Z152" s="1">
        <v>0</v>
      </c>
      <c r="AA152" s="1" t="s">
        <v>45</v>
      </c>
      <c r="AB152" s="1" t="s">
        <v>45</v>
      </c>
      <c r="AC152" s="1" t="s">
        <v>45</v>
      </c>
      <c r="AD152" s="1" t="s">
        <v>45</v>
      </c>
      <c r="AE152" s="1" t="s">
        <v>45</v>
      </c>
      <c r="AF152" s="1" t="s">
        <v>51</v>
      </c>
      <c r="AG152" s="1" t="s">
        <v>45</v>
      </c>
      <c r="AH152" s="1" t="s">
        <v>45</v>
      </c>
      <c r="AI152" s="1" t="s">
        <v>45</v>
      </c>
      <c r="AJ152" s="1" t="s">
        <v>45</v>
      </c>
      <c r="AK152" s="1" t="s">
        <v>801</v>
      </c>
      <c r="AL152" s="1" t="s">
        <v>49</v>
      </c>
      <c r="AM152" s="1" t="s">
        <v>49</v>
      </c>
      <c r="AN152" s="1">
        <v>0</v>
      </c>
      <c r="AO152" s="1">
        <v>0</v>
      </c>
      <c r="AP152" s="1">
        <v>0</v>
      </c>
    </row>
    <row r="153" spans="1:42" x14ac:dyDescent="0.25">
      <c r="A153" s="1" t="s">
        <v>802</v>
      </c>
      <c r="B153" s="1" t="s">
        <v>803</v>
      </c>
      <c r="C153" s="1" t="s">
        <v>804</v>
      </c>
      <c r="D153" s="1" t="str">
        <f t="shared" si="20"/>
        <v>PALACIOS TORRES</v>
      </c>
      <c r="E153" s="1" t="str">
        <f t="shared" si="24"/>
        <v>JOSE MIGUEL</v>
      </c>
      <c r="F153" s="1" t="s">
        <v>41</v>
      </c>
      <c r="G153" s="1" t="s">
        <v>42</v>
      </c>
      <c r="H153" s="1" t="s">
        <v>42</v>
      </c>
      <c r="I153" s="1" t="s">
        <v>43</v>
      </c>
      <c r="J153" s="1" t="s">
        <v>44</v>
      </c>
      <c r="K153" s="1" t="s">
        <v>805</v>
      </c>
      <c r="L153" s="1" t="s">
        <v>806</v>
      </c>
      <c r="M153" s="1" t="s">
        <v>69</v>
      </c>
      <c r="N153" s="1">
        <v>58</v>
      </c>
      <c r="O153" s="1" t="s">
        <v>807</v>
      </c>
      <c r="P153" s="1" t="s">
        <v>45</v>
      </c>
      <c r="Q153" s="1" t="s">
        <v>808</v>
      </c>
      <c r="R153" s="1" t="s">
        <v>49</v>
      </c>
      <c r="S153" s="1" t="s">
        <v>50</v>
      </c>
      <c r="T153" s="1" t="s">
        <v>50</v>
      </c>
      <c r="U153" s="1" t="s">
        <v>45</v>
      </c>
      <c r="V153" s="1" t="s">
        <v>45</v>
      </c>
      <c r="W153" s="1" t="s">
        <v>45</v>
      </c>
      <c r="X153" s="1" t="s">
        <v>45</v>
      </c>
      <c r="Y153" s="1" t="s">
        <v>45</v>
      </c>
      <c r="Z153" s="1">
        <v>0</v>
      </c>
      <c r="AA153" s="1" t="s">
        <v>45</v>
      </c>
      <c r="AB153" s="1" t="s">
        <v>45</v>
      </c>
      <c r="AC153" s="1" t="s">
        <v>45</v>
      </c>
      <c r="AD153" s="1" t="s">
        <v>45</v>
      </c>
      <c r="AE153" s="1" t="s">
        <v>45</v>
      </c>
      <c r="AF153" s="1" t="s">
        <v>51</v>
      </c>
      <c r="AG153" s="1" t="s">
        <v>45</v>
      </c>
      <c r="AH153" s="1" t="s">
        <v>45</v>
      </c>
      <c r="AI153" s="1" t="s">
        <v>45</v>
      </c>
      <c r="AJ153" s="1" t="s">
        <v>45</v>
      </c>
      <c r="AK153" s="1" t="s">
        <v>45</v>
      </c>
      <c r="AL153" s="1" t="s">
        <v>49</v>
      </c>
      <c r="AM153" s="1" t="s">
        <v>49</v>
      </c>
      <c r="AN153" s="1">
        <v>0</v>
      </c>
      <c r="AO153" s="1">
        <v>0</v>
      </c>
      <c r="AP153" s="1">
        <v>0</v>
      </c>
    </row>
    <row r="154" spans="1:42" x14ac:dyDescent="0.25">
      <c r="A154" s="1" t="s">
        <v>809</v>
      </c>
      <c r="B154" s="1" t="s">
        <v>810</v>
      </c>
      <c r="C154" s="1" t="s">
        <v>811</v>
      </c>
      <c r="D154" s="1" t="str">
        <f t="shared" si="20"/>
        <v>PALMA AQUINO</v>
      </c>
      <c r="E154" s="1" t="str">
        <f t="shared" si="24"/>
        <v>SAIDY LADY</v>
      </c>
      <c r="F154" s="1" t="s">
        <v>41</v>
      </c>
      <c r="G154" s="1" t="s">
        <v>42</v>
      </c>
      <c r="H154" s="1" t="s">
        <v>42</v>
      </c>
      <c r="I154" s="1" t="s">
        <v>43</v>
      </c>
      <c r="J154" s="1" t="s">
        <v>44</v>
      </c>
      <c r="K154" s="1" t="s">
        <v>45</v>
      </c>
      <c r="L154" s="1" t="s">
        <v>812</v>
      </c>
      <c r="M154" s="1" t="s">
        <v>62</v>
      </c>
      <c r="N154" s="1">
        <v>3</v>
      </c>
      <c r="O154" s="1" t="s">
        <v>45</v>
      </c>
      <c r="P154" s="1" t="s">
        <v>45</v>
      </c>
      <c r="Q154" s="1" t="s">
        <v>813</v>
      </c>
      <c r="R154" s="1" t="s">
        <v>49</v>
      </c>
      <c r="S154" s="1" t="s">
        <v>50</v>
      </c>
      <c r="T154" s="1" t="s">
        <v>50</v>
      </c>
      <c r="U154" s="1" t="s">
        <v>45</v>
      </c>
      <c r="V154" s="1" t="s">
        <v>45</v>
      </c>
      <c r="W154" s="1" t="s">
        <v>45</v>
      </c>
      <c r="X154" s="1" t="s">
        <v>45</v>
      </c>
      <c r="Y154" s="1" t="s">
        <v>45</v>
      </c>
      <c r="Z154" s="1">
        <v>0</v>
      </c>
      <c r="AA154" s="1" t="s">
        <v>45</v>
      </c>
      <c r="AB154" s="1" t="s">
        <v>45</v>
      </c>
      <c r="AC154" s="1" t="s">
        <v>45</v>
      </c>
      <c r="AD154" s="1" t="s">
        <v>45</v>
      </c>
      <c r="AE154" s="1" t="s">
        <v>45</v>
      </c>
      <c r="AF154" s="1" t="s">
        <v>51</v>
      </c>
      <c r="AG154" s="1" t="s">
        <v>45</v>
      </c>
      <c r="AH154" s="1" t="s">
        <v>45</v>
      </c>
      <c r="AI154" s="1" t="s">
        <v>45</v>
      </c>
      <c r="AJ154" s="1" t="s">
        <v>45</v>
      </c>
      <c r="AK154" s="1" t="s">
        <v>45</v>
      </c>
      <c r="AL154" s="1" t="s">
        <v>49</v>
      </c>
      <c r="AM154" s="1" t="s">
        <v>49</v>
      </c>
      <c r="AN154" s="1">
        <v>0</v>
      </c>
      <c r="AO154" s="1">
        <v>0</v>
      </c>
      <c r="AP154" s="1">
        <v>0</v>
      </c>
    </row>
    <row r="155" spans="1:42" x14ac:dyDescent="0.25">
      <c r="A155" s="1" t="s">
        <v>814</v>
      </c>
      <c r="B155" s="1" t="s">
        <v>815</v>
      </c>
      <c r="C155" s="1" t="s">
        <v>816</v>
      </c>
      <c r="D155" s="1" t="str">
        <f t="shared" si="20"/>
        <v>PAUCAR JOSE</v>
      </c>
      <c r="E155" s="1" t="str">
        <f t="shared" si="24"/>
        <v>ANTONIO</v>
      </c>
      <c r="F155" s="1" t="s">
        <v>41</v>
      </c>
      <c r="G155" s="1" t="s">
        <v>42</v>
      </c>
      <c r="H155" s="1" t="s">
        <v>42</v>
      </c>
      <c r="I155" s="1" t="s">
        <v>43</v>
      </c>
      <c r="J155" s="1" t="s">
        <v>44</v>
      </c>
      <c r="K155" s="1" t="s">
        <v>45</v>
      </c>
      <c r="L155" s="1" t="s">
        <v>214</v>
      </c>
      <c r="M155" s="1" t="s">
        <v>47</v>
      </c>
      <c r="N155" s="1">
        <v>134</v>
      </c>
      <c r="O155" s="1" t="s">
        <v>45</v>
      </c>
      <c r="P155" s="1" t="s">
        <v>45</v>
      </c>
      <c r="Q155" s="1" t="s">
        <v>45</v>
      </c>
      <c r="R155" s="1" t="s">
        <v>49</v>
      </c>
      <c r="S155" s="1" t="s">
        <v>50</v>
      </c>
      <c r="T155" s="1" t="s">
        <v>50</v>
      </c>
      <c r="U155" s="1" t="s">
        <v>45</v>
      </c>
      <c r="V155" s="1" t="s">
        <v>45</v>
      </c>
      <c r="W155" s="1" t="s">
        <v>45</v>
      </c>
      <c r="X155" s="1" t="s">
        <v>45</v>
      </c>
      <c r="Y155" s="1" t="s">
        <v>45</v>
      </c>
      <c r="Z155" s="1">
        <v>0</v>
      </c>
      <c r="AA155" s="1" t="s">
        <v>45</v>
      </c>
      <c r="AB155" s="1" t="s">
        <v>45</v>
      </c>
      <c r="AC155" s="1" t="s">
        <v>45</v>
      </c>
      <c r="AD155" s="1" t="s">
        <v>45</v>
      </c>
      <c r="AE155" s="1" t="s">
        <v>45</v>
      </c>
      <c r="AF155" s="1" t="s">
        <v>51</v>
      </c>
      <c r="AG155" s="1" t="s">
        <v>45</v>
      </c>
      <c r="AH155" s="1" t="s">
        <v>45</v>
      </c>
      <c r="AI155" s="1" t="s">
        <v>45</v>
      </c>
      <c r="AJ155" s="1" t="s">
        <v>45</v>
      </c>
      <c r="AK155" s="1" t="s">
        <v>45</v>
      </c>
      <c r="AL155" s="1" t="s">
        <v>49</v>
      </c>
      <c r="AM155" s="1" t="s">
        <v>49</v>
      </c>
      <c r="AN155" s="1">
        <v>0</v>
      </c>
      <c r="AO155" s="1">
        <v>0</v>
      </c>
      <c r="AP155" s="1">
        <v>0</v>
      </c>
    </row>
    <row r="156" spans="1:42" x14ac:dyDescent="0.25">
      <c r="A156" s="1" t="s">
        <v>817</v>
      </c>
      <c r="B156" s="1" t="s">
        <v>818</v>
      </c>
      <c r="C156" s="1" t="s">
        <v>1175</v>
      </c>
      <c r="D156" s="1" t="str">
        <f t="shared" si="20"/>
        <v>PAZMIÑO ERAS</v>
      </c>
      <c r="E156" s="1" t="str">
        <f t="shared" si="24"/>
        <v>SABRINA MARISOL</v>
      </c>
      <c r="F156" s="1" t="s">
        <v>41</v>
      </c>
      <c r="G156" s="1" t="s">
        <v>42</v>
      </c>
      <c r="H156" s="1" t="s">
        <v>42</v>
      </c>
      <c r="I156" s="1" t="s">
        <v>43</v>
      </c>
      <c r="J156" s="1" t="s">
        <v>44</v>
      </c>
      <c r="K156" s="1" t="s">
        <v>45</v>
      </c>
      <c r="L156" s="1" t="s">
        <v>819</v>
      </c>
      <c r="M156" s="1" t="s">
        <v>47</v>
      </c>
      <c r="N156" s="1">
        <v>134</v>
      </c>
      <c r="O156" s="1" t="s">
        <v>45</v>
      </c>
      <c r="P156" s="1" t="s">
        <v>45</v>
      </c>
      <c r="Q156" s="1" t="s">
        <v>45</v>
      </c>
      <c r="R156" s="1" t="s">
        <v>49</v>
      </c>
      <c r="S156" s="1" t="s">
        <v>50</v>
      </c>
      <c r="T156" s="1" t="s">
        <v>50</v>
      </c>
      <c r="U156" s="1" t="s">
        <v>45</v>
      </c>
      <c r="V156" s="1" t="s">
        <v>45</v>
      </c>
      <c r="W156" s="1" t="s">
        <v>45</v>
      </c>
      <c r="X156" s="1" t="s">
        <v>45</v>
      </c>
      <c r="Y156" s="1" t="s">
        <v>45</v>
      </c>
      <c r="Z156" s="1">
        <v>0</v>
      </c>
      <c r="AA156" s="1" t="s">
        <v>45</v>
      </c>
      <c r="AB156" s="1" t="s">
        <v>45</v>
      </c>
      <c r="AC156" s="1" t="s">
        <v>45</v>
      </c>
      <c r="AD156" s="1" t="s">
        <v>45</v>
      </c>
      <c r="AE156" s="1" t="s">
        <v>45</v>
      </c>
      <c r="AF156" s="1" t="s">
        <v>51</v>
      </c>
      <c r="AG156" s="1" t="s">
        <v>45</v>
      </c>
      <c r="AH156" s="1" t="s">
        <v>45</v>
      </c>
      <c r="AI156" s="1" t="s">
        <v>45</v>
      </c>
      <c r="AJ156" s="1" t="s">
        <v>45</v>
      </c>
      <c r="AK156" s="1" t="s">
        <v>820</v>
      </c>
      <c r="AL156" s="1" t="s">
        <v>49</v>
      </c>
      <c r="AM156" s="1" t="s">
        <v>49</v>
      </c>
      <c r="AN156" s="1">
        <v>0</v>
      </c>
      <c r="AO156" s="1">
        <v>0</v>
      </c>
      <c r="AP156" s="1">
        <v>0</v>
      </c>
    </row>
    <row r="157" spans="1:42" x14ac:dyDescent="0.25">
      <c r="A157" s="1" t="s">
        <v>821</v>
      </c>
      <c r="B157" s="1" t="s">
        <v>822</v>
      </c>
      <c r="C157" s="1" t="s">
        <v>823</v>
      </c>
      <c r="D157" s="1" t="str">
        <f t="shared" si="20"/>
        <v>PEREIRA FERNANDEZ</v>
      </c>
      <c r="E157" s="1" t="str">
        <f t="shared" si="24"/>
        <v>JORGE ALBERTO</v>
      </c>
      <c r="F157" s="1" t="s">
        <v>41</v>
      </c>
      <c r="G157" s="1" t="s">
        <v>42</v>
      </c>
      <c r="H157" s="1" t="s">
        <v>42</v>
      </c>
      <c r="I157" s="1" t="s">
        <v>43</v>
      </c>
      <c r="J157" s="1" t="s">
        <v>44</v>
      </c>
      <c r="K157" s="1" t="s">
        <v>45</v>
      </c>
      <c r="L157" s="1" t="s">
        <v>824</v>
      </c>
      <c r="M157" s="1" t="s">
        <v>62</v>
      </c>
      <c r="N157" s="1">
        <v>3</v>
      </c>
      <c r="O157" s="1" t="s">
        <v>45</v>
      </c>
      <c r="P157" s="1" t="s">
        <v>45</v>
      </c>
      <c r="Q157" s="1" t="s">
        <v>45</v>
      </c>
      <c r="R157" s="1" t="s">
        <v>49</v>
      </c>
      <c r="S157" s="1" t="s">
        <v>50</v>
      </c>
      <c r="T157" s="1" t="s">
        <v>50</v>
      </c>
      <c r="U157" s="1" t="s">
        <v>45</v>
      </c>
      <c r="V157" s="1" t="s">
        <v>45</v>
      </c>
      <c r="W157" s="1" t="s">
        <v>45</v>
      </c>
      <c r="X157" s="1" t="s">
        <v>45</v>
      </c>
      <c r="Y157" s="1" t="s">
        <v>45</v>
      </c>
      <c r="Z157" s="1">
        <v>0</v>
      </c>
      <c r="AA157" s="1" t="s">
        <v>45</v>
      </c>
      <c r="AB157" s="1" t="s">
        <v>45</v>
      </c>
      <c r="AC157" s="1" t="s">
        <v>45</v>
      </c>
      <c r="AD157" s="1" t="s">
        <v>45</v>
      </c>
      <c r="AE157" s="1" t="s">
        <v>45</v>
      </c>
      <c r="AF157" s="1" t="s">
        <v>51</v>
      </c>
      <c r="AG157" s="1" t="s">
        <v>45</v>
      </c>
      <c r="AH157" s="1" t="s">
        <v>45</v>
      </c>
      <c r="AI157" s="1" t="s">
        <v>45</v>
      </c>
      <c r="AJ157" s="1" t="s">
        <v>45</v>
      </c>
      <c r="AK157" s="1" t="s">
        <v>825</v>
      </c>
      <c r="AL157" s="1" t="s">
        <v>49</v>
      </c>
      <c r="AM157" s="1" t="s">
        <v>49</v>
      </c>
      <c r="AN157" s="1">
        <v>0</v>
      </c>
      <c r="AO157" s="1">
        <v>0</v>
      </c>
      <c r="AP157" s="1">
        <v>0</v>
      </c>
    </row>
    <row r="158" spans="1:42" x14ac:dyDescent="0.25">
      <c r="A158" s="1" t="s">
        <v>826</v>
      </c>
      <c r="B158" s="1" t="s">
        <v>827</v>
      </c>
      <c r="C158" s="1" t="s">
        <v>828</v>
      </c>
      <c r="D158" s="1" t="str">
        <f t="shared" si="20"/>
        <v>PEREZ PEREZ</v>
      </c>
      <c r="E158" s="1" t="str">
        <f t="shared" si="24"/>
        <v>ELENA VICTORIA</v>
      </c>
      <c r="F158" s="1" t="s">
        <v>41</v>
      </c>
      <c r="G158" s="1" t="s">
        <v>42</v>
      </c>
      <c r="H158" s="1" t="s">
        <v>42</v>
      </c>
      <c r="I158" s="1" t="s">
        <v>43</v>
      </c>
      <c r="J158" s="1" t="s">
        <v>44</v>
      </c>
      <c r="K158" s="1" t="s">
        <v>45</v>
      </c>
      <c r="L158" s="1" t="s">
        <v>829</v>
      </c>
      <c r="M158" s="1" t="s">
        <v>62</v>
      </c>
      <c r="N158" s="1">
        <v>3</v>
      </c>
      <c r="O158" s="1" t="s">
        <v>45</v>
      </c>
      <c r="P158" s="1" t="s">
        <v>45</v>
      </c>
      <c r="Q158" s="1" t="s">
        <v>830</v>
      </c>
      <c r="R158" s="1" t="s">
        <v>49</v>
      </c>
      <c r="S158" s="1" t="s">
        <v>50</v>
      </c>
      <c r="T158" s="1" t="s">
        <v>50</v>
      </c>
      <c r="U158" s="1" t="s">
        <v>45</v>
      </c>
      <c r="V158" s="1" t="s">
        <v>45</v>
      </c>
      <c r="W158" s="1" t="s">
        <v>45</v>
      </c>
      <c r="X158" s="1" t="s">
        <v>45</v>
      </c>
      <c r="Y158" s="1" t="s">
        <v>45</v>
      </c>
      <c r="Z158" s="1">
        <v>0</v>
      </c>
      <c r="AA158" s="1" t="s">
        <v>45</v>
      </c>
      <c r="AB158" s="1" t="s">
        <v>45</v>
      </c>
      <c r="AC158" s="1" t="s">
        <v>45</v>
      </c>
      <c r="AD158" s="1" t="s">
        <v>45</v>
      </c>
      <c r="AE158" s="1" t="s">
        <v>45</v>
      </c>
      <c r="AF158" s="1" t="s">
        <v>51</v>
      </c>
      <c r="AG158" s="1" t="s">
        <v>45</v>
      </c>
      <c r="AH158" s="1" t="s">
        <v>45</v>
      </c>
      <c r="AI158" s="1" t="s">
        <v>45</v>
      </c>
      <c r="AJ158" s="1" t="s">
        <v>45</v>
      </c>
      <c r="AK158" s="1" t="s">
        <v>45</v>
      </c>
      <c r="AL158" s="1" t="s">
        <v>49</v>
      </c>
      <c r="AM158" s="1" t="s">
        <v>49</v>
      </c>
      <c r="AN158" s="1">
        <v>0</v>
      </c>
      <c r="AO158" s="1">
        <v>0</v>
      </c>
      <c r="AP158" s="1">
        <v>0</v>
      </c>
    </row>
    <row r="159" spans="1:42" x14ac:dyDescent="0.25">
      <c r="A159" s="1" t="s">
        <v>831</v>
      </c>
      <c r="B159" s="1" t="s">
        <v>832</v>
      </c>
      <c r="C159" s="1" t="s">
        <v>833</v>
      </c>
      <c r="D159" s="1" t="str">
        <f t="shared" si="20"/>
        <v>PINEDA MEJIA</v>
      </c>
      <c r="E159" s="1" t="str">
        <f t="shared" si="24"/>
        <v>ITALO SIMON</v>
      </c>
      <c r="F159" s="1" t="s">
        <v>41</v>
      </c>
      <c r="G159" s="1" t="s">
        <v>42</v>
      </c>
      <c r="H159" s="1" t="s">
        <v>42</v>
      </c>
      <c r="I159" s="1" t="s">
        <v>43</v>
      </c>
      <c r="J159" s="1" t="s">
        <v>44</v>
      </c>
      <c r="K159" s="1" t="s">
        <v>45</v>
      </c>
      <c r="L159" s="1" t="s">
        <v>834</v>
      </c>
      <c r="M159" s="1" t="s">
        <v>69</v>
      </c>
      <c r="N159" s="1">
        <v>58</v>
      </c>
      <c r="O159" s="1" t="s">
        <v>835</v>
      </c>
      <c r="P159" s="1" t="s">
        <v>45</v>
      </c>
      <c r="Q159" s="1" t="s">
        <v>836</v>
      </c>
      <c r="R159" s="1" t="s">
        <v>49</v>
      </c>
      <c r="S159" s="1" t="s">
        <v>50</v>
      </c>
      <c r="T159" s="1" t="s">
        <v>50</v>
      </c>
      <c r="U159" s="1" t="s">
        <v>45</v>
      </c>
      <c r="V159" s="1" t="s">
        <v>45</v>
      </c>
      <c r="W159" s="1" t="s">
        <v>45</v>
      </c>
      <c r="X159" s="1" t="s">
        <v>45</v>
      </c>
      <c r="Y159" s="1" t="s">
        <v>45</v>
      </c>
      <c r="Z159" s="1">
        <v>0</v>
      </c>
      <c r="AA159" s="1" t="s">
        <v>45</v>
      </c>
      <c r="AB159" s="1" t="s">
        <v>45</v>
      </c>
      <c r="AC159" s="1" t="s">
        <v>45</v>
      </c>
      <c r="AD159" s="1" t="s">
        <v>45</v>
      </c>
      <c r="AE159" s="1" t="s">
        <v>45</v>
      </c>
      <c r="AF159" s="1" t="s">
        <v>51</v>
      </c>
      <c r="AG159" s="1" t="s">
        <v>45</v>
      </c>
      <c r="AH159" s="1" t="s">
        <v>45</v>
      </c>
      <c r="AI159" s="1" t="s">
        <v>45</v>
      </c>
      <c r="AJ159" s="1" t="s">
        <v>45</v>
      </c>
      <c r="AK159" s="1" t="s">
        <v>45</v>
      </c>
      <c r="AL159" s="1" t="s">
        <v>49</v>
      </c>
      <c r="AM159" s="1" t="s">
        <v>49</v>
      </c>
      <c r="AN159" s="1">
        <v>0</v>
      </c>
      <c r="AO159" s="1">
        <v>0</v>
      </c>
      <c r="AP159" s="1">
        <v>0</v>
      </c>
    </row>
    <row r="160" spans="1:42" x14ac:dyDescent="0.25">
      <c r="A160" s="1" t="s">
        <v>837</v>
      </c>
      <c r="B160" s="1" t="s">
        <v>838</v>
      </c>
      <c r="C160" s="1" t="s">
        <v>839</v>
      </c>
      <c r="D160" s="1" t="str">
        <f t="shared" si="20"/>
        <v>PINEDA MEJIA</v>
      </c>
      <c r="E160" s="1" t="str">
        <f t="shared" si="24"/>
        <v>ROGER JOSUE</v>
      </c>
      <c r="F160" s="1" t="s">
        <v>41</v>
      </c>
      <c r="G160" s="1" t="s">
        <v>42</v>
      </c>
      <c r="H160" s="1" t="s">
        <v>42</v>
      </c>
      <c r="I160" s="1" t="s">
        <v>43</v>
      </c>
      <c r="J160" s="1" t="s">
        <v>44</v>
      </c>
      <c r="K160" s="1" t="s">
        <v>45</v>
      </c>
      <c r="L160" s="1" t="s">
        <v>840</v>
      </c>
      <c r="M160" s="1" t="s">
        <v>69</v>
      </c>
      <c r="N160" s="1">
        <v>58</v>
      </c>
      <c r="O160" s="1" t="s">
        <v>45</v>
      </c>
      <c r="P160" s="1" t="s">
        <v>45</v>
      </c>
      <c r="Q160" s="1" t="s">
        <v>45</v>
      </c>
      <c r="R160" s="1" t="s">
        <v>49</v>
      </c>
      <c r="S160" s="1" t="s">
        <v>50</v>
      </c>
      <c r="T160" s="1" t="s">
        <v>50</v>
      </c>
      <c r="U160" s="1" t="s">
        <v>45</v>
      </c>
      <c r="V160" s="1" t="s">
        <v>45</v>
      </c>
      <c r="W160" s="1" t="s">
        <v>45</v>
      </c>
      <c r="X160" s="1" t="s">
        <v>45</v>
      </c>
      <c r="Y160" s="1" t="s">
        <v>45</v>
      </c>
      <c r="Z160" s="1">
        <v>0</v>
      </c>
      <c r="AA160" s="1" t="s">
        <v>45</v>
      </c>
      <c r="AB160" s="1" t="s">
        <v>45</v>
      </c>
      <c r="AC160" s="1" t="s">
        <v>45</v>
      </c>
      <c r="AD160" s="1" t="s">
        <v>45</v>
      </c>
      <c r="AE160" s="1" t="s">
        <v>45</v>
      </c>
      <c r="AF160" s="1" t="s">
        <v>51</v>
      </c>
      <c r="AG160" s="1" t="s">
        <v>45</v>
      </c>
      <c r="AH160" s="1" t="s">
        <v>45</v>
      </c>
      <c r="AI160" s="1" t="s">
        <v>45</v>
      </c>
      <c r="AJ160" s="1" t="s">
        <v>45</v>
      </c>
      <c r="AK160" s="1" t="s">
        <v>841</v>
      </c>
      <c r="AL160" s="1" t="s">
        <v>49</v>
      </c>
      <c r="AM160" s="1" t="s">
        <v>49</v>
      </c>
      <c r="AN160" s="1">
        <v>0</v>
      </c>
      <c r="AO160" s="1">
        <v>0</v>
      </c>
      <c r="AP160" s="1">
        <v>0</v>
      </c>
    </row>
    <row r="161" spans="1:42" x14ac:dyDescent="0.25">
      <c r="A161" s="1" t="s">
        <v>842</v>
      </c>
      <c r="B161" s="1" t="s">
        <v>843</v>
      </c>
      <c r="C161" s="1" t="s">
        <v>844</v>
      </c>
      <c r="D161" s="1" t="str">
        <f t="shared" si="20"/>
        <v>PINTADO GILER</v>
      </c>
      <c r="E161" s="1" t="str">
        <f t="shared" si="24"/>
        <v>ALEXANDRA ELIZABETH</v>
      </c>
      <c r="F161" s="1" t="s">
        <v>41</v>
      </c>
      <c r="G161" s="1" t="s">
        <v>42</v>
      </c>
      <c r="H161" s="1" t="s">
        <v>42</v>
      </c>
      <c r="I161" s="1" t="s">
        <v>43</v>
      </c>
      <c r="J161" s="1" t="s">
        <v>44</v>
      </c>
      <c r="K161" s="1" t="s">
        <v>45</v>
      </c>
      <c r="L161" s="1" t="s">
        <v>845</v>
      </c>
      <c r="M161" s="1" t="s">
        <v>69</v>
      </c>
      <c r="N161" s="1">
        <v>58</v>
      </c>
      <c r="O161" s="1" t="s">
        <v>846</v>
      </c>
      <c r="P161" s="1" t="s">
        <v>45</v>
      </c>
      <c r="Q161" s="1" t="s">
        <v>847</v>
      </c>
      <c r="R161" s="1" t="s">
        <v>49</v>
      </c>
      <c r="S161" s="1" t="s">
        <v>50</v>
      </c>
      <c r="T161" s="1" t="s">
        <v>50</v>
      </c>
      <c r="U161" s="1" t="s">
        <v>45</v>
      </c>
      <c r="V161" s="1" t="s">
        <v>45</v>
      </c>
      <c r="W161" s="1" t="s">
        <v>45</v>
      </c>
      <c r="X161" s="1" t="s">
        <v>45</v>
      </c>
      <c r="Y161" s="1" t="s">
        <v>45</v>
      </c>
      <c r="Z161" s="1">
        <v>0</v>
      </c>
      <c r="AA161" s="1" t="s">
        <v>45</v>
      </c>
      <c r="AB161" s="1" t="s">
        <v>45</v>
      </c>
      <c r="AC161" s="1" t="s">
        <v>45</v>
      </c>
      <c r="AD161" s="1" t="s">
        <v>45</v>
      </c>
      <c r="AE161" s="1" t="s">
        <v>45</v>
      </c>
      <c r="AF161" s="1" t="s">
        <v>51</v>
      </c>
      <c r="AG161" s="1" t="s">
        <v>45</v>
      </c>
      <c r="AH161" s="1" t="s">
        <v>45</v>
      </c>
      <c r="AI161" s="1" t="s">
        <v>45</v>
      </c>
      <c r="AJ161" s="1" t="s">
        <v>45</v>
      </c>
      <c r="AK161" s="1" t="s">
        <v>45</v>
      </c>
      <c r="AL161" s="1" t="s">
        <v>49</v>
      </c>
      <c r="AM161" s="1" t="s">
        <v>49</v>
      </c>
      <c r="AN161" s="1">
        <v>0</v>
      </c>
      <c r="AO161" s="1">
        <v>0</v>
      </c>
      <c r="AP161" s="1">
        <v>0</v>
      </c>
    </row>
    <row r="162" spans="1:42" x14ac:dyDescent="0.25">
      <c r="A162" s="1" t="s">
        <v>848</v>
      </c>
      <c r="B162" s="1" t="s">
        <v>849</v>
      </c>
      <c r="C162" s="1" t="s">
        <v>850</v>
      </c>
      <c r="D162" s="1" t="str">
        <f>+C162</f>
        <v>PLASTIVILL S.A.</v>
      </c>
      <c r="F162" s="1" t="s">
        <v>41</v>
      </c>
      <c r="G162" s="1" t="s">
        <v>42</v>
      </c>
      <c r="H162" s="1" t="s">
        <v>42</v>
      </c>
      <c r="I162" s="1" t="s">
        <v>43</v>
      </c>
      <c r="J162" s="1" t="s">
        <v>44</v>
      </c>
      <c r="K162" s="1" t="s">
        <v>45</v>
      </c>
      <c r="L162" s="1" t="s">
        <v>851</v>
      </c>
      <c r="M162" s="1" t="s">
        <v>852</v>
      </c>
      <c r="N162" s="1">
        <v>107</v>
      </c>
      <c r="O162" s="1" t="s">
        <v>45</v>
      </c>
      <c r="P162" s="1" t="s">
        <v>45</v>
      </c>
      <c r="Q162" s="1" t="s">
        <v>853</v>
      </c>
      <c r="R162" s="1" t="s">
        <v>49</v>
      </c>
      <c r="S162" s="1" t="s">
        <v>50</v>
      </c>
      <c r="T162" s="1" t="s">
        <v>50</v>
      </c>
      <c r="U162" s="1" t="s">
        <v>45</v>
      </c>
      <c r="V162" s="1" t="s">
        <v>45</v>
      </c>
      <c r="W162" s="1" t="s">
        <v>45</v>
      </c>
      <c r="X162" s="1" t="s">
        <v>45</v>
      </c>
      <c r="Y162" s="1" t="s">
        <v>45</v>
      </c>
      <c r="Z162" s="1">
        <v>0</v>
      </c>
      <c r="AA162" s="1" t="s">
        <v>45</v>
      </c>
      <c r="AB162" s="1" t="s">
        <v>45</v>
      </c>
      <c r="AC162" s="1" t="s">
        <v>45</v>
      </c>
      <c r="AD162" s="1" t="s">
        <v>45</v>
      </c>
      <c r="AE162" s="1" t="s">
        <v>45</v>
      </c>
      <c r="AF162" s="1" t="s">
        <v>51</v>
      </c>
      <c r="AG162" s="1" t="s">
        <v>45</v>
      </c>
      <c r="AH162" s="1" t="s">
        <v>45</v>
      </c>
      <c r="AI162" s="1" t="s">
        <v>45</v>
      </c>
      <c r="AJ162" s="1" t="s">
        <v>45</v>
      </c>
      <c r="AK162" s="1" t="s">
        <v>45</v>
      </c>
      <c r="AL162" s="1" t="s">
        <v>49</v>
      </c>
      <c r="AM162" s="1" t="s">
        <v>49</v>
      </c>
      <c r="AN162" s="1">
        <v>0</v>
      </c>
      <c r="AO162" s="1">
        <v>0</v>
      </c>
      <c r="AP162" s="1">
        <v>0</v>
      </c>
    </row>
    <row r="163" spans="1:42" x14ac:dyDescent="0.25">
      <c r="A163" s="1" t="s">
        <v>854</v>
      </c>
      <c r="B163" s="1" t="s">
        <v>855</v>
      </c>
      <c r="C163" s="1" t="s">
        <v>856</v>
      </c>
      <c r="D163" s="1" t="str">
        <f t="shared" si="20"/>
        <v>POGGIO REYES</v>
      </c>
      <c r="E163" s="1" t="str">
        <f t="shared" ref="E163:E164" si="25">RIGHT(C163, LEN(C163) - FIND(" ", C163, FIND(" ", C163, FIND(" ", C163) + 0) + 1))</f>
        <v>ANTONIO DOMINGO</v>
      </c>
      <c r="F163" s="1" t="s">
        <v>41</v>
      </c>
      <c r="G163" s="1" t="s">
        <v>42</v>
      </c>
      <c r="H163" s="1" t="s">
        <v>42</v>
      </c>
      <c r="I163" s="1" t="s">
        <v>43</v>
      </c>
      <c r="J163" s="1" t="s">
        <v>44</v>
      </c>
      <c r="K163" s="1" t="s">
        <v>45</v>
      </c>
      <c r="L163" s="1" t="s">
        <v>857</v>
      </c>
      <c r="M163" s="1" t="s">
        <v>69</v>
      </c>
      <c r="N163" s="1">
        <v>58</v>
      </c>
      <c r="O163" s="1" t="s">
        <v>45</v>
      </c>
      <c r="P163" s="1" t="s">
        <v>45</v>
      </c>
      <c r="Q163" s="1" t="s">
        <v>45</v>
      </c>
      <c r="R163" s="1" t="s">
        <v>49</v>
      </c>
      <c r="S163" s="1" t="s">
        <v>50</v>
      </c>
      <c r="T163" s="1" t="s">
        <v>50</v>
      </c>
      <c r="U163" s="1" t="s">
        <v>45</v>
      </c>
      <c r="V163" s="1" t="s">
        <v>45</v>
      </c>
      <c r="W163" s="1" t="s">
        <v>45</v>
      </c>
      <c r="X163" s="1" t="s">
        <v>45</v>
      </c>
      <c r="Y163" s="1" t="s">
        <v>45</v>
      </c>
      <c r="Z163" s="1">
        <v>0</v>
      </c>
      <c r="AA163" s="1" t="s">
        <v>45</v>
      </c>
      <c r="AB163" s="1" t="s">
        <v>45</v>
      </c>
      <c r="AC163" s="1" t="s">
        <v>45</v>
      </c>
      <c r="AD163" s="1" t="s">
        <v>45</v>
      </c>
      <c r="AE163" s="1" t="s">
        <v>45</v>
      </c>
      <c r="AF163" s="1" t="s">
        <v>51</v>
      </c>
      <c r="AG163" s="1" t="s">
        <v>45</v>
      </c>
      <c r="AH163" s="1" t="s">
        <v>45</v>
      </c>
      <c r="AI163" s="1" t="s">
        <v>45</v>
      </c>
      <c r="AJ163" s="1" t="s">
        <v>45</v>
      </c>
      <c r="AK163" s="1" t="s">
        <v>45</v>
      </c>
      <c r="AL163" s="1" t="s">
        <v>49</v>
      </c>
      <c r="AM163" s="1" t="s">
        <v>49</v>
      </c>
      <c r="AN163" s="1">
        <v>0</v>
      </c>
      <c r="AO163" s="1">
        <v>0</v>
      </c>
      <c r="AP163" s="1">
        <v>0</v>
      </c>
    </row>
    <row r="164" spans="1:42" x14ac:dyDescent="0.25">
      <c r="A164" s="1" t="s">
        <v>858</v>
      </c>
      <c r="B164" s="1" t="s">
        <v>859</v>
      </c>
      <c r="C164" s="1" t="s">
        <v>860</v>
      </c>
      <c r="D164" s="1" t="str">
        <f t="shared" si="20"/>
        <v>PONCE GONZALEZ</v>
      </c>
      <c r="E164" s="1" t="str">
        <f t="shared" si="25"/>
        <v>LIDIA MERCEDES</v>
      </c>
      <c r="F164" s="1" t="s">
        <v>41</v>
      </c>
      <c r="G164" s="1" t="s">
        <v>42</v>
      </c>
      <c r="H164" s="1" t="s">
        <v>42</v>
      </c>
      <c r="I164" s="1" t="s">
        <v>43</v>
      </c>
      <c r="J164" s="1" t="s">
        <v>44</v>
      </c>
      <c r="K164" s="1" t="s">
        <v>45</v>
      </c>
      <c r="L164" s="1" t="s">
        <v>861</v>
      </c>
      <c r="M164" s="1" t="s">
        <v>69</v>
      </c>
      <c r="N164" s="1">
        <v>58</v>
      </c>
      <c r="O164" s="1" t="s">
        <v>45</v>
      </c>
      <c r="P164" s="1" t="s">
        <v>45</v>
      </c>
      <c r="Q164" s="1" t="s">
        <v>862</v>
      </c>
      <c r="R164" s="1" t="s">
        <v>49</v>
      </c>
      <c r="S164" s="1" t="s">
        <v>50</v>
      </c>
      <c r="T164" s="1" t="s">
        <v>50</v>
      </c>
      <c r="U164" s="1" t="s">
        <v>45</v>
      </c>
      <c r="V164" s="1" t="s">
        <v>45</v>
      </c>
      <c r="W164" s="1" t="s">
        <v>45</v>
      </c>
      <c r="X164" s="1" t="s">
        <v>45</v>
      </c>
      <c r="Y164" s="1" t="s">
        <v>45</v>
      </c>
      <c r="Z164" s="1">
        <v>0</v>
      </c>
      <c r="AA164" s="1" t="s">
        <v>45</v>
      </c>
      <c r="AB164" s="1" t="s">
        <v>45</v>
      </c>
      <c r="AC164" s="1" t="s">
        <v>45</v>
      </c>
      <c r="AD164" s="1" t="s">
        <v>45</v>
      </c>
      <c r="AE164" s="1" t="s">
        <v>45</v>
      </c>
      <c r="AF164" s="1" t="s">
        <v>51</v>
      </c>
      <c r="AG164" s="1" t="s">
        <v>45</v>
      </c>
      <c r="AH164" s="1" t="s">
        <v>45</v>
      </c>
      <c r="AI164" s="1" t="s">
        <v>45</v>
      </c>
      <c r="AJ164" s="1" t="s">
        <v>45</v>
      </c>
      <c r="AK164" s="1" t="s">
        <v>45</v>
      </c>
      <c r="AL164" s="1" t="s">
        <v>49</v>
      </c>
      <c r="AM164" s="1" t="s">
        <v>49</v>
      </c>
      <c r="AN164" s="1">
        <v>0</v>
      </c>
      <c r="AO164" s="1">
        <v>0</v>
      </c>
      <c r="AP164" s="1">
        <v>0</v>
      </c>
    </row>
    <row r="165" spans="1:42" x14ac:dyDescent="0.25">
      <c r="A165" s="1" t="s">
        <v>863</v>
      </c>
      <c r="B165" s="1" t="s">
        <v>864</v>
      </c>
      <c r="C165" s="1" t="s">
        <v>865</v>
      </c>
      <c r="D165" s="1" t="str">
        <f>+C165</f>
        <v>PYCCA S.A.</v>
      </c>
      <c r="F165" s="1" t="s">
        <v>41</v>
      </c>
      <c r="G165" s="1" t="s">
        <v>55</v>
      </c>
      <c r="H165" s="1" t="s">
        <v>42</v>
      </c>
      <c r="I165" s="1" t="s">
        <v>43</v>
      </c>
      <c r="J165" s="1" t="s">
        <v>44</v>
      </c>
      <c r="K165" s="1" t="s">
        <v>45</v>
      </c>
      <c r="L165" s="1" t="s">
        <v>866</v>
      </c>
      <c r="M165" s="1" t="s">
        <v>62</v>
      </c>
      <c r="N165" s="1">
        <v>3</v>
      </c>
      <c r="O165" s="1" t="s">
        <v>45</v>
      </c>
      <c r="P165" s="1" t="s">
        <v>45</v>
      </c>
      <c r="Q165" s="1" t="s">
        <v>45</v>
      </c>
      <c r="R165" s="1" t="s">
        <v>49</v>
      </c>
      <c r="S165" s="1" t="s">
        <v>50</v>
      </c>
      <c r="T165" s="1" t="s">
        <v>50</v>
      </c>
      <c r="U165" s="1" t="s">
        <v>45</v>
      </c>
      <c r="V165" s="1" t="s">
        <v>45</v>
      </c>
      <c r="W165" s="1" t="s">
        <v>45</v>
      </c>
      <c r="X165" s="1" t="s">
        <v>45</v>
      </c>
      <c r="Y165" s="1" t="s">
        <v>45</v>
      </c>
      <c r="Z165" s="1">
        <v>0</v>
      </c>
      <c r="AA165" s="1" t="s">
        <v>45</v>
      </c>
      <c r="AB165" s="1" t="s">
        <v>45</v>
      </c>
      <c r="AC165" s="1" t="s">
        <v>45</v>
      </c>
      <c r="AD165" s="1" t="s">
        <v>45</v>
      </c>
      <c r="AE165" s="1" t="s">
        <v>45</v>
      </c>
      <c r="AF165" s="1" t="s">
        <v>51</v>
      </c>
      <c r="AG165" s="1" t="s">
        <v>45</v>
      </c>
      <c r="AH165" s="1" t="s">
        <v>45</v>
      </c>
      <c r="AI165" s="1" t="s">
        <v>45</v>
      </c>
      <c r="AJ165" s="1" t="s">
        <v>45</v>
      </c>
      <c r="AK165" s="1" t="s">
        <v>45</v>
      </c>
      <c r="AL165" s="1" t="s">
        <v>49</v>
      </c>
      <c r="AM165" s="1" t="s">
        <v>49</v>
      </c>
      <c r="AN165" s="1">
        <v>0</v>
      </c>
      <c r="AO165" s="1">
        <v>0</v>
      </c>
      <c r="AP165" s="1">
        <v>0</v>
      </c>
    </row>
    <row r="166" spans="1:42" x14ac:dyDescent="0.25">
      <c r="A166" s="1" t="s">
        <v>867</v>
      </c>
      <c r="B166" s="1" t="s">
        <v>868</v>
      </c>
      <c r="C166" s="1" t="s">
        <v>869</v>
      </c>
      <c r="D166" s="1" t="str">
        <f t="shared" si="20"/>
        <v xml:space="preserve">QUEZADA </v>
      </c>
      <c r="E166" s="1" t="str">
        <f t="shared" ref="E166:E174" si="26">RIGHT(C166, LEN(C166) - FIND(" ", C166, FIND(" ", C166, FIND(" ", C166) + 0) + 1))</f>
        <v>AGUILAR CAMILO AMADOR</v>
      </c>
      <c r="F166" s="1" t="s">
        <v>41</v>
      </c>
      <c r="G166" s="1" t="s">
        <v>42</v>
      </c>
      <c r="H166" s="1" t="s">
        <v>42</v>
      </c>
      <c r="I166" s="1" t="s">
        <v>43</v>
      </c>
      <c r="J166" s="1" t="s">
        <v>44</v>
      </c>
      <c r="K166" s="1" t="s">
        <v>45</v>
      </c>
      <c r="L166" s="1" t="s">
        <v>870</v>
      </c>
      <c r="M166" s="1" t="s">
        <v>69</v>
      </c>
      <c r="N166" s="1">
        <v>58</v>
      </c>
      <c r="O166" s="1" t="s">
        <v>871</v>
      </c>
      <c r="P166" s="1" t="s">
        <v>45</v>
      </c>
      <c r="Q166" s="1" t="s">
        <v>872</v>
      </c>
      <c r="R166" s="1" t="s">
        <v>49</v>
      </c>
      <c r="S166" s="1" t="s">
        <v>50</v>
      </c>
      <c r="T166" s="1" t="s">
        <v>50</v>
      </c>
      <c r="U166" s="1" t="s">
        <v>45</v>
      </c>
      <c r="V166" s="1" t="s">
        <v>45</v>
      </c>
      <c r="W166" s="1" t="s">
        <v>45</v>
      </c>
      <c r="X166" s="1" t="s">
        <v>45</v>
      </c>
      <c r="Y166" s="1" t="s">
        <v>45</v>
      </c>
      <c r="Z166" s="1">
        <v>0</v>
      </c>
      <c r="AA166" s="1" t="s">
        <v>45</v>
      </c>
      <c r="AB166" s="1" t="s">
        <v>45</v>
      </c>
      <c r="AC166" s="1" t="s">
        <v>45</v>
      </c>
      <c r="AD166" s="1" t="s">
        <v>45</v>
      </c>
      <c r="AE166" s="1" t="s">
        <v>45</v>
      </c>
      <c r="AF166" s="1" t="s">
        <v>51</v>
      </c>
      <c r="AG166" s="1" t="s">
        <v>45</v>
      </c>
      <c r="AH166" s="1" t="s">
        <v>45</v>
      </c>
      <c r="AI166" s="1" t="s">
        <v>45</v>
      </c>
      <c r="AJ166" s="1" t="s">
        <v>45</v>
      </c>
      <c r="AK166" s="1" t="s">
        <v>45</v>
      </c>
      <c r="AL166" s="1" t="s">
        <v>49</v>
      </c>
      <c r="AM166" s="1" t="s">
        <v>49</v>
      </c>
      <c r="AN166" s="1">
        <v>0</v>
      </c>
      <c r="AO166" s="1">
        <v>0</v>
      </c>
      <c r="AP166" s="1">
        <v>0</v>
      </c>
    </row>
    <row r="167" spans="1:42" x14ac:dyDescent="0.25">
      <c r="A167" s="1" t="s">
        <v>873</v>
      </c>
      <c r="B167" s="1" t="s">
        <v>874</v>
      </c>
      <c r="C167" s="1" t="s">
        <v>875</v>
      </c>
      <c r="D167" s="1" t="str">
        <f t="shared" si="20"/>
        <v>QUEZADA ALVARADO</v>
      </c>
      <c r="E167" s="1" t="str">
        <f t="shared" si="26"/>
        <v>NELLY</v>
      </c>
      <c r="F167" s="1" t="s">
        <v>41</v>
      </c>
      <c r="G167" s="1" t="s">
        <v>42</v>
      </c>
      <c r="H167" s="1" t="s">
        <v>42</v>
      </c>
      <c r="I167" s="1" t="s">
        <v>43</v>
      </c>
      <c r="J167" s="1" t="s">
        <v>44</v>
      </c>
      <c r="K167" s="1" t="s">
        <v>45</v>
      </c>
      <c r="L167" s="1" t="s">
        <v>876</v>
      </c>
      <c r="M167" s="1" t="s">
        <v>69</v>
      </c>
      <c r="N167" s="1">
        <v>58</v>
      </c>
      <c r="O167" s="1" t="s">
        <v>45</v>
      </c>
      <c r="P167" s="1" t="s">
        <v>45</v>
      </c>
      <c r="Q167" s="1" t="s">
        <v>877</v>
      </c>
      <c r="R167" s="1" t="s">
        <v>49</v>
      </c>
      <c r="S167" s="1" t="s">
        <v>50</v>
      </c>
      <c r="T167" s="1" t="s">
        <v>50</v>
      </c>
      <c r="U167" s="1" t="s">
        <v>45</v>
      </c>
      <c r="V167" s="1" t="s">
        <v>45</v>
      </c>
      <c r="W167" s="1" t="s">
        <v>45</v>
      </c>
      <c r="X167" s="1" t="s">
        <v>45</v>
      </c>
      <c r="Y167" s="1" t="s">
        <v>45</v>
      </c>
      <c r="Z167" s="1">
        <v>0</v>
      </c>
      <c r="AA167" s="1" t="s">
        <v>45</v>
      </c>
      <c r="AB167" s="1" t="s">
        <v>45</v>
      </c>
      <c r="AC167" s="1" t="s">
        <v>45</v>
      </c>
      <c r="AD167" s="1" t="s">
        <v>45</v>
      </c>
      <c r="AE167" s="1" t="s">
        <v>45</v>
      </c>
      <c r="AF167" s="1" t="s">
        <v>51</v>
      </c>
      <c r="AG167" s="1" t="s">
        <v>45</v>
      </c>
      <c r="AH167" s="1" t="s">
        <v>45</v>
      </c>
      <c r="AI167" s="1" t="s">
        <v>45</v>
      </c>
      <c r="AJ167" s="1" t="s">
        <v>45</v>
      </c>
      <c r="AK167" s="1" t="s">
        <v>45</v>
      </c>
      <c r="AL167" s="1" t="s">
        <v>49</v>
      </c>
      <c r="AM167" s="1" t="s">
        <v>49</v>
      </c>
      <c r="AN167" s="1">
        <v>0</v>
      </c>
      <c r="AO167" s="1">
        <v>0</v>
      </c>
      <c r="AP167" s="1">
        <v>0</v>
      </c>
    </row>
    <row r="168" spans="1:42" x14ac:dyDescent="0.25">
      <c r="A168" s="1" t="s">
        <v>878</v>
      </c>
      <c r="B168" s="1" t="s">
        <v>879</v>
      </c>
      <c r="C168" s="1" t="s">
        <v>880</v>
      </c>
      <c r="D168" s="1" t="str">
        <f t="shared" si="20"/>
        <v>QUEZADA ARIAS</v>
      </c>
      <c r="E168" s="1" t="str">
        <f t="shared" si="26"/>
        <v>JAIME ROMAN</v>
      </c>
      <c r="F168" s="1" t="s">
        <v>41</v>
      </c>
      <c r="G168" s="1" t="s">
        <v>42</v>
      </c>
      <c r="H168" s="1" t="s">
        <v>42</v>
      </c>
      <c r="I168" s="1" t="s">
        <v>43</v>
      </c>
      <c r="J168" s="1" t="s">
        <v>44</v>
      </c>
      <c r="K168" s="1" t="s">
        <v>45</v>
      </c>
      <c r="L168" s="1" t="s">
        <v>881</v>
      </c>
      <c r="M168" s="1" t="s">
        <v>62</v>
      </c>
      <c r="N168" s="1">
        <v>3</v>
      </c>
      <c r="O168" s="1" t="s">
        <v>882</v>
      </c>
      <c r="P168" s="1" t="s">
        <v>45</v>
      </c>
      <c r="Q168" s="1" t="s">
        <v>883</v>
      </c>
      <c r="R168" s="1" t="s">
        <v>49</v>
      </c>
      <c r="S168" s="1" t="s">
        <v>50</v>
      </c>
      <c r="T168" s="1" t="s">
        <v>50</v>
      </c>
      <c r="U168" s="1" t="s">
        <v>45</v>
      </c>
      <c r="V168" s="1" t="s">
        <v>45</v>
      </c>
      <c r="W168" s="1" t="s">
        <v>45</v>
      </c>
      <c r="X168" s="1" t="s">
        <v>45</v>
      </c>
      <c r="Y168" s="1" t="s">
        <v>45</v>
      </c>
      <c r="Z168" s="1">
        <v>0</v>
      </c>
      <c r="AA168" s="1" t="s">
        <v>45</v>
      </c>
      <c r="AB168" s="1" t="s">
        <v>45</v>
      </c>
      <c r="AC168" s="1" t="s">
        <v>45</v>
      </c>
      <c r="AD168" s="1" t="s">
        <v>45</v>
      </c>
      <c r="AE168" s="1" t="s">
        <v>45</v>
      </c>
      <c r="AF168" s="1" t="s">
        <v>51</v>
      </c>
      <c r="AG168" s="1" t="s">
        <v>45</v>
      </c>
      <c r="AH168" s="1" t="s">
        <v>45</v>
      </c>
      <c r="AI168" s="1" t="s">
        <v>45</v>
      </c>
      <c r="AJ168" s="1" t="s">
        <v>45</v>
      </c>
      <c r="AK168" s="1" t="s">
        <v>45</v>
      </c>
      <c r="AL168" s="1" t="s">
        <v>49</v>
      </c>
      <c r="AM168" s="1" t="s">
        <v>49</v>
      </c>
      <c r="AN168" s="1">
        <v>0</v>
      </c>
      <c r="AO168" s="1">
        <v>0</v>
      </c>
      <c r="AP168" s="1">
        <v>0</v>
      </c>
    </row>
    <row r="169" spans="1:42" x14ac:dyDescent="0.25">
      <c r="A169" s="1" t="s">
        <v>884</v>
      </c>
      <c r="B169" s="1" t="s">
        <v>885</v>
      </c>
      <c r="C169" s="1" t="s">
        <v>886</v>
      </c>
      <c r="D169" s="1" t="str">
        <f t="shared" si="20"/>
        <v>QUEZADA CHUCHUCA</v>
      </c>
      <c r="E169" s="1" t="str">
        <f t="shared" si="26"/>
        <v xml:space="preserve"> JOSE LUIS</v>
      </c>
      <c r="F169" s="1" t="s">
        <v>41</v>
      </c>
      <c r="G169" s="1" t="s">
        <v>42</v>
      </c>
      <c r="H169" s="1" t="s">
        <v>42</v>
      </c>
      <c r="I169" s="1" t="s">
        <v>43</v>
      </c>
      <c r="J169" s="1" t="s">
        <v>44</v>
      </c>
      <c r="K169" s="1" t="s">
        <v>45</v>
      </c>
      <c r="L169" s="1" t="s">
        <v>887</v>
      </c>
      <c r="M169" s="1" t="s">
        <v>62</v>
      </c>
      <c r="N169" s="1">
        <v>3</v>
      </c>
      <c r="O169" s="1" t="s">
        <v>45</v>
      </c>
      <c r="P169" s="1" t="s">
        <v>45</v>
      </c>
      <c r="Q169" s="1" t="s">
        <v>888</v>
      </c>
      <c r="R169" s="1" t="s">
        <v>49</v>
      </c>
      <c r="S169" s="1" t="s">
        <v>50</v>
      </c>
      <c r="T169" s="1" t="s">
        <v>50</v>
      </c>
      <c r="U169" s="1" t="s">
        <v>45</v>
      </c>
      <c r="V169" s="1" t="s">
        <v>45</v>
      </c>
      <c r="W169" s="1" t="s">
        <v>45</v>
      </c>
      <c r="X169" s="1" t="s">
        <v>45</v>
      </c>
      <c r="Y169" s="1" t="s">
        <v>45</v>
      </c>
      <c r="Z169" s="1">
        <v>0</v>
      </c>
      <c r="AA169" s="1" t="s">
        <v>45</v>
      </c>
      <c r="AB169" s="1" t="s">
        <v>45</v>
      </c>
      <c r="AC169" s="1" t="s">
        <v>45</v>
      </c>
      <c r="AD169" s="1" t="s">
        <v>45</v>
      </c>
      <c r="AE169" s="1" t="s">
        <v>45</v>
      </c>
      <c r="AF169" s="1" t="s">
        <v>51</v>
      </c>
      <c r="AG169" s="1" t="s">
        <v>45</v>
      </c>
      <c r="AH169" s="1" t="s">
        <v>45</v>
      </c>
      <c r="AI169" s="1" t="s">
        <v>45</v>
      </c>
      <c r="AJ169" s="1" t="s">
        <v>45</v>
      </c>
      <c r="AK169" s="1" t="s">
        <v>45</v>
      </c>
      <c r="AL169" s="1" t="s">
        <v>49</v>
      </c>
      <c r="AM169" s="1" t="s">
        <v>49</v>
      </c>
      <c r="AN169" s="1">
        <v>0</v>
      </c>
      <c r="AO169" s="1">
        <v>0</v>
      </c>
      <c r="AP169" s="1">
        <v>0</v>
      </c>
    </row>
    <row r="170" spans="1:42" x14ac:dyDescent="0.25">
      <c r="A170" s="1" t="s">
        <v>889</v>
      </c>
      <c r="B170" s="1" t="s">
        <v>890</v>
      </c>
      <c r="C170" s="1" t="s">
        <v>1176</v>
      </c>
      <c r="D170" s="1" t="str">
        <f t="shared" si="20"/>
        <v>QUINDE ORTUÑO</v>
      </c>
      <c r="E170" s="1" t="str">
        <f t="shared" si="26"/>
        <v>LUIS SILVIO</v>
      </c>
      <c r="F170" s="1" t="s">
        <v>41</v>
      </c>
      <c r="G170" s="1" t="s">
        <v>42</v>
      </c>
      <c r="H170" s="1" t="s">
        <v>42</v>
      </c>
      <c r="I170" s="1" t="s">
        <v>43</v>
      </c>
      <c r="J170" s="1" t="s">
        <v>44</v>
      </c>
      <c r="K170" s="1" t="s">
        <v>891</v>
      </c>
      <c r="L170" s="1" t="s">
        <v>892</v>
      </c>
      <c r="M170" s="1" t="s">
        <v>92</v>
      </c>
      <c r="N170" s="1">
        <v>78</v>
      </c>
      <c r="O170" s="1" t="s">
        <v>45</v>
      </c>
      <c r="P170" s="1" t="s">
        <v>45</v>
      </c>
      <c r="Q170" s="1" t="s">
        <v>893</v>
      </c>
      <c r="R170" s="1" t="s">
        <v>49</v>
      </c>
      <c r="S170" s="1" t="s">
        <v>50</v>
      </c>
      <c r="T170" s="1" t="s">
        <v>50</v>
      </c>
      <c r="U170" s="1" t="s">
        <v>45</v>
      </c>
      <c r="V170" s="1" t="s">
        <v>45</v>
      </c>
      <c r="W170" s="1" t="s">
        <v>45</v>
      </c>
      <c r="X170" s="1" t="s">
        <v>45</v>
      </c>
      <c r="Y170" s="1" t="s">
        <v>45</v>
      </c>
      <c r="Z170" s="1">
        <v>0</v>
      </c>
      <c r="AA170" s="1" t="s">
        <v>45</v>
      </c>
      <c r="AB170" s="1" t="s">
        <v>45</v>
      </c>
      <c r="AC170" s="1" t="s">
        <v>45</v>
      </c>
      <c r="AD170" s="1" t="s">
        <v>45</v>
      </c>
      <c r="AE170" s="1" t="s">
        <v>45</v>
      </c>
      <c r="AF170" s="1" t="s">
        <v>51</v>
      </c>
      <c r="AG170" s="1" t="s">
        <v>45</v>
      </c>
      <c r="AH170" s="1" t="s">
        <v>45</v>
      </c>
      <c r="AI170" s="1" t="s">
        <v>45</v>
      </c>
      <c r="AJ170" s="1" t="s">
        <v>45</v>
      </c>
      <c r="AK170" s="1" t="s">
        <v>45</v>
      </c>
      <c r="AL170" s="1" t="s">
        <v>49</v>
      </c>
      <c r="AM170" s="1" t="s">
        <v>49</v>
      </c>
      <c r="AN170" s="1">
        <v>0</v>
      </c>
      <c r="AO170" s="1">
        <v>0</v>
      </c>
      <c r="AP170" s="1">
        <v>0</v>
      </c>
    </row>
    <row r="171" spans="1:42" x14ac:dyDescent="0.25">
      <c r="A171" s="1" t="s">
        <v>894</v>
      </c>
      <c r="B171" s="1" t="s">
        <v>895</v>
      </c>
      <c r="C171" s="1" t="s">
        <v>896</v>
      </c>
      <c r="D171" s="1" t="str">
        <f t="shared" si="20"/>
        <v>RAMON QUEZADA</v>
      </c>
      <c r="E171" s="1" t="str">
        <f t="shared" si="26"/>
        <v>MANUEL BOLIVAR</v>
      </c>
      <c r="F171" s="1" t="s">
        <v>41</v>
      </c>
      <c r="G171" s="1" t="s">
        <v>42</v>
      </c>
      <c r="H171" s="1" t="s">
        <v>42</v>
      </c>
      <c r="I171" s="1" t="s">
        <v>43</v>
      </c>
      <c r="J171" s="1" t="s">
        <v>44</v>
      </c>
      <c r="K171" s="1" t="s">
        <v>45</v>
      </c>
      <c r="L171" s="1" t="s">
        <v>897</v>
      </c>
      <c r="M171" s="1" t="s">
        <v>62</v>
      </c>
      <c r="N171" s="1">
        <v>3</v>
      </c>
      <c r="O171" s="1" t="s">
        <v>898</v>
      </c>
      <c r="P171" s="1" t="s">
        <v>45</v>
      </c>
      <c r="Q171" s="1" t="s">
        <v>45</v>
      </c>
      <c r="R171" s="1" t="s">
        <v>49</v>
      </c>
      <c r="S171" s="1" t="s">
        <v>50</v>
      </c>
      <c r="T171" s="1" t="s">
        <v>50</v>
      </c>
      <c r="U171" s="1" t="s">
        <v>45</v>
      </c>
      <c r="V171" s="1" t="s">
        <v>45</v>
      </c>
      <c r="W171" s="1" t="s">
        <v>45</v>
      </c>
      <c r="X171" s="1" t="s">
        <v>45</v>
      </c>
      <c r="Y171" s="1" t="s">
        <v>45</v>
      </c>
      <c r="Z171" s="1">
        <v>0</v>
      </c>
      <c r="AA171" s="1" t="s">
        <v>45</v>
      </c>
      <c r="AB171" s="1" t="s">
        <v>45</v>
      </c>
      <c r="AC171" s="1" t="s">
        <v>45</v>
      </c>
      <c r="AD171" s="1" t="s">
        <v>45</v>
      </c>
      <c r="AE171" s="1" t="s">
        <v>45</v>
      </c>
      <c r="AF171" s="1" t="s">
        <v>51</v>
      </c>
      <c r="AG171" s="1" t="s">
        <v>45</v>
      </c>
      <c r="AH171" s="1" t="s">
        <v>45</v>
      </c>
      <c r="AI171" s="1" t="s">
        <v>45</v>
      </c>
      <c r="AJ171" s="1" t="s">
        <v>45</v>
      </c>
      <c r="AK171" s="1" t="s">
        <v>45</v>
      </c>
      <c r="AL171" s="1" t="s">
        <v>49</v>
      </c>
      <c r="AM171" s="1" t="s">
        <v>49</v>
      </c>
      <c r="AN171" s="1">
        <v>0</v>
      </c>
      <c r="AO171" s="1">
        <v>0</v>
      </c>
      <c r="AP171" s="1">
        <v>0</v>
      </c>
    </row>
    <row r="172" spans="1:42" x14ac:dyDescent="0.25">
      <c r="A172" s="1" t="s">
        <v>899</v>
      </c>
      <c r="B172" s="1" t="s">
        <v>900</v>
      </c>
      <c r="C172" s="1" t="s">
        <v>901</v>
      </c>
      <c r="D172" s="1" t="str">
        <f t="shared" si="20"/>
        <v>RAMON RIVAS</v>
      </c>
      <c r="E172" s="1" t="str">
        <f t="shared" si="26"/>
        <v>FABRICIO KLINFOR</v>
      </c>
      <c r="F172" s="1" t="s">
        <v>41</v>
      </c>
      <c r="G172" s="1" t="s">
        <v>42</v>
      </c>
      <c r="H172" s="1" t="s">
        <v>42</v>
      </c>
      <c r="I172" s="1" t="s">
        <v>43</v>
      </c>
      <c r="J172" s="1" t="s">
        <v>44</v>
      </c>
      <c r="K172" s="1" t="s">
        <v>902</v>
      </c>
      <c r="L172" s="1" t="s">
        <v>903</v>
      </c>
      <c r="M172" s="1" t="s">
        <v>69</v>
      </c>
      <c r="N172" s="1">
        <v>58</v>
      </c>
      <c r="O172" s="1" t="s">
        <v>45</v>
      </c>
      <c r="P172" s="1" t="s">
        <v>45</v>
      </c>
      <c r="Q172" s="1" t="s">
        <v>904</v>
      </c>
      <c r="R172" s="1" t="s">
        <v>49</v>
      </c>
      <c r="S172" s="1" t="s">
        <v>50</v>
      </c>
      <c r="T172" s="1" t="s">
        <v>50</v>
      </c>
      <c r="U172" s="1" t="s">
        <v>45</v>
      </c>
      <c r="V172" s="1" t="s">
        <v>45</v>
      </c>
      <c r="W172" s="1" t="s">
        <v>45</v>
      </c>
      <c r="X172" s="1" t="s">
        <v>45</v>
      </c>
      <c r="Y172" s="1" t="s">
        <v>45</v>
      </c>
      <c r="Z172" s="1">
        <v>0</v>
      </c>
      <c r="AA172" s="1" t="s">
        <v>45</v>
      </c>
      <c r="AB172" s="1" t="s">
        <v>45</v>
      </c>
      <c r="AC172" s="1" t="s">
        <v>45</v>
      </c>
      <c r="AD172" s="1" t="s">
        <v>45</v>
      </c>
      <c r="AE172" s="1" t="s">
        <v>45</v>
      </c>
      <c r="AF172" s="1" t="s">
        <v>51</v>
      </c>
      <c r="AG172" s="1" t="s">
        <v>45</v>
      </c>
      <c r="AH172" s="1" t="s">
        <v>45</v>
      </c>
      <c r="AI172" s="1" t="s">
        <v>45</v>
      </c>
      <c r="AJ172" s="1" t="s">
        <v>45</v>
      </c>
      <c r="AK172" s="1" t="s">
        <v>45</v>
      </c>
      <c r="AL172" s="1" t="s">
        <v>49</v>
      </c>
      <c r="AM172" s="1" t="s">
        <v>49</v>
      </c>
      <c r="AN172" s="1">
        <v>0</v>
      </c>
      <c r="AO172" s="1">
        <v>0</v>
      </c>
      <c r="AP172" s="1">
        <v>0</v>
      </c>
    </row>
    <row r="173" spans="1:42" x14ac:dyDescent="0.25">
      <c r="A173" s="1" t="s">
        <v>905</v>
      </c>
      <c r="B173" s="1" t="s">
        <v>906</v>
      </c>
      <c r="C173" s="1" t="s">
        <v>907</v>
      </c>
      <c r="D173" s="1" t="str">
        <f t="shared" si="20"/>
        <v>RAMON SANMARTIN</v>
      </c>
      <c r="E173" s="1" t="str">
        <f t="shared" si="26"/>
        <v>EDGAR EDUARDO</v>
      </c>
      <c r="F173" s="1" t="s">
        <v>41</v>
      </c>
      <c r="G173" s="1" t="s">
        <v>42</v>
      </c>
      <c r="H173" s="1" t="s">
        <v>42</v>
      </c>
      <c r="I173" s="1" t="s">
        <v>43</v>
      </c>
      <c r="J173" s="1" t="s">
        <v>44</v>
      </c>
      <c r="K173" s="1" t="s">
        <v>45</v>
      </c>
      <c r="L173" s="1" t="s">
        <v>908</v>
      </c>
      <c r="M173" s="1" t="s">
        <v>47</v>
      </c>
      <c r="N173" s="1">
        <v>134</v>
      </c>
      <c r="O173" s="1" t="s">
        <v>45</v>
      </c>
      <c r="P173" s="1" t="s">
        <v>45</v>
      </c>
      <c r="Q173" s="1" t="s">
        <v>909</v>
      </c>
      <c r="R173" s="1" t="s">
        <v>49</v>
      </c>
      <c r="S173" s="1" t="s">
        <v>50</v>
      </c>
      <c r="T173" s="1" t="s">
        <v>50</v>
      </c>
      <c r="U173" s="1" t="s">
        <v>45</v>
      </c>
      <c r="V173" s="1" t="s">
        <v>45</v>
      </c>
      <c r="W173" s="1" t="s">
        <v>45</v>
      </c>
      <c r="X173" s="1" t="s">
        <v>45</v>
      </c>
      <c r="Y173" s="1" t="s">
        <v>45</v>
      </c>
      <c r="Z173" s="1">
        <v>0</v>
      </c>
      <c r="AA173" s="1" t="s">
        <v>45</v>
      </c>
      <c r="AB173" s="1" t="s">
        <v>45</v>
      </c>
      <c r="AC173" s="1" t="s">
        <v>45</v>
      </c>
      <c r="AD173" s="1" t="s">
        <v>45</v>
      </c>
      <c r="AE173" s="1" t="s">
        <v>45</v>
      </c>
      <c r="AF173" s="1" t="s">
        <v>51</v>
      </c>
      <c r="AG173" s="1" t="s">
        <v>45</v>
      </c>
      <c r="AH173" s="1" t="s">
        <v>45</v>
      </c>
      <c r="AI173" s="1" t="s">
        <v>45</v>
      </c>
      <c r="AJ173" s="1" t="s">
        <v>45</v>
      </c>
      <c r="AK173" s="1" t="s">
        <v>45</v>
      </c>
      <c r="AL173" s="1" t="s">
        <v>49</v>
      </c>
      <c r="AM173" s="1" t="s">
        <v>49</v>
      </c>
      <c r="AN173" s="1">
        <v>0</v>
      </c>
      <c r="AO173" s="1">
        <v>0</v>
      </c>
      <c r="AP173" s="1">
        <v>0</v>
      </c>
    </row>
    <row r="174" spans="1:42" x14ac:dyDescent="0.25">
      <c r="A174" s="1" t="s">
        <v>910</v>
      </c>
      <c r="B174" s="1" t="s">
        <v>911</v>
      </c>
      <c r="C174" s="1" t="s">
        <v>912</v>
      </c>
      <c r="D174" s="1" t="str">
        <f t="shared" si="20"/>
        <v>RAMOS SIMBA</v>
      </c>
      <c r="E174" s="1" t="str">
        <f t="shared" si="26"/>
        <v>WILLIAN PATRICIO</v>
      </c>
      <c r="F174" s="1" t="s">
        <v>41</v>
      </c>
      <c r="G174" s="1" t="s">
        <v>42</v>
      </c>
      <c r="H174" s="1" t="s">
        <v>42</v>
      </c>
      <c r="I174" s="1" t="s">
        <v>43</v>
      </c>
      <c r="J174" s="1" t="s">
        <v>44</v>
      </c>
      <c r="K174" s="1" t="s">
        <v>45</v>
      </c>
      <c r="L174" s="1" t="s">
        <v>913</v>
      </c>
      <c r="M174" s="1" t="s">
        <v>914</v>
      </c>
      <c r="N174" s="1">
        <v>7</v>
      </c>
      <c r="O174" s="1" t="s">
        <v>45</v>
      </c>
      <c r="P174" s="1" t="s">
        <v>45</v>
      </c>
      <c r="Q174" s="1" t="s">
        <v>915</v>
      </c>
      <c r="R174" s="1" t="s">
        <v>49</v>
      </c>
      <c r="S174" s="1" t="s">
        <v>50</v>
      </c>
      <c r="T174" s="1" t="s">
        <v>50</v>
      </c>
      <c r="U174" s="1" t="s">
        <v>45</v>
      </c>
      <c r="V174" s="1" t="s">
        <v>45</v>
      </c>
      <c r="W174" s="1" t="s">
        <v>45</v>
      </c>
      <c r="X174" s="1" t="s">
        <v>45</v>
      </c>
      <c r="Y174" s="1" t="s">
        <v>45</v>
      </c>
      <c r="Z174" s="1">
        <v>0</v>
      </c>
      <c r="AA174" s="1" t="s">
        <v>45</v>
      </c>
      <c r="AB174" s="1" t="s">
        <v>45</v>
      </c>
      <c r="AC174" s="1" t="s">
        <v>45</v>
      </c>
      <c r="AD174" s="1" t="s">
        <v>45</v>
      </c>
      <c r="AE174" s="1" t="s">
        <v>45</v>
      </c>
      <c r="AF174" s="1" t="s">
        <v>51</v>
      </c>
      <c r="AG174" s="1" t="s">
        <v>45</v>
      </c>
      <c r="AH174" s="1" t="s">
        <v>45</v>
      </c>
      <c r="AI174" s="1" t="s">
        <v>45</v>
      </c>
      <c r="AJ174" s="1" t="s">
        <v>45</v>
      </c>
      <c r="AK174" s="1" t="s">
        <v>45</v>
      </c>
      <c r="AL174" s="1" t="s">
        <v>49</v>
      </c>
      <c r="AM174" s="1" t="s">
        <v>49</v>
      </c>
      <c r="AN174" s="1">
        <v>0</v>
      </c>
      <c r="AO174" s="1">
        <v>0</v>
      </c>
      <c r="AP174" s="1">
        <v>0</v>
      </c>
    </row>
    <row r="175" spans="1:42" x14ac:dyDescent="0.25">
      <c r="A175" s="1" t="s">
        <v>916</v>
      </c>
      <c r="B175" s="1" t="s">
        <v>917</v>
      </c>
      <c r="C175" s="1" t="s">
        <v>918</v>
      </c>
      <c r="D175" s="1" t="str">
        <f>+C175</f>
        <v>RECICLADORA DE METALES DEL SUR REMISURSA S A</v>
      </c>
      <c r="F175" s="1" t="s">
        <v>41</v>
      </c>
      <c r="G175" s="1" t="s">
        <v>42</v>
      </c>
      <c r="H175" s="1" t="s">
        <v>42</v>
      </c>
      <c r="I175" s="1" t="s">
        <v>43</v>
      </c>
      <c r="J175" s="1" t="s">
        <v>44</v>
      </c>
      <c r="K175" s="1" t="s">
        <v>919</v>
      </c>
      <c r="L175" s="1" t="s">
        <v>920</v>
      </c>
      <c r="M175" s="1" t="s">
        <v>62</v>
      </c>
      <c r="N175" s="1">
        <v>3</v>
      </c>
      <c r="O175" s="1" t="s">
        <v>45</v>
      </c>
      <c r="P175" s="1" t="s">
        <v>45</v>
      </c>
      <c r="Q175" s="1" t="s">
        <v>921</v>
      </c>
      <c r="R175" s="1" t="s">
        <v>49</v>
      </c>
      <c r="S175" s="1" t="s">
        <v>50</v>
      </c>
      <c r="T175" s="1" t="s">
        <v>50</v>
      </c>
      <c r="U175" s="1" t="s">
        <v>45</v>
      </c>
      <c r="V175" s="1" t="s">
        <v>45</v>
      </c>
      <c r="W175" s="1" t="s">
        <v>45</v>
      </c>
      <c r="X175" s="1" t="s">
        <v>45</v>
      </c>
      <c r="Y175" s="1" t="s">
        <v>45</v>
      </c>
      <c r="Z175" s="1">
        <v>0</v>
      </c>
      <c r="AA175" s="1" t="s">
        <v>45</v>
      </c>
      <c r="AB175" s="1" t="s">
        <v>45</v>
      </c>
      <c r="AC175" s="1" t="s">
        <v>45</v>
      </c>
      <c r="AD175" s="1" t="s">
        <v>45</v>
      </c>
      <c r="AE175" s="1" t="s">
        <v>45</v>
      </c>
      <c r="AF175" s="1" t="s">
        <v>51</v>
      </c>
      <c r="AG175" s="1" t="s">
        <v>45</v>
      </c>
      <c r="AH175" s="1" t="s">
        <v>45</v>
      </c>
      <c r="AI175" s="1" t="s">
        <v>45</v>
      </c>
      <c r="AJ175" s="1" t="s">
        <v>45</v>
      </c>
      <c r="AK175" s="1" t="s">
        <v>922</v>
      </c>
      <c r="AL175" s="1" t="s">
        <v>49</v>
      </c>
      <c r="AM175" s="1" t="s">
        <v>49</v>
      </c>
      <c r="AN175" s="1">
        <v>0</v>
      </c>
      <c r="AO175" s="1">
        <v>0</v>
      </c>
      <c r="AP175" s="1">
        <v>0</v>
      </c>
    </row>
    <row r="176" spans="1:42" x14ac:dyDescent="0.25">
      <c r="A176" s="1" t="s">
        <v>923</v>
      </c>
      <c r="B176" s="1" t="s">
        <v>924</v>
      </c>
      <c r="C176" s="1" t="s">
        <v>925</v>
      </c>
      <c r="D176" s="1" t="str">
        <f t="shared" si="20"/>
        <v>REINOSO CASTILLO</v>
      </c>
      <c r="E176" s="1" t="str">
        <f t="shared" ref="E176:E190" si="27">RIGHT(C176, LEN(C176) - FIND(" ", C176, FIND(" ", C176, FIND(" ", C176) + 0) + 1))</f>
        <v>GONZALO WLADIMIR</v>
      </c>
      <c r="F176" s="1" t="s">
        <v>41</v>
      </c>
      <c r="G176" s="1" t="s">
        <v>42</v>
      </c>
      <c r="H176" s="1" t="s">
        <v>42</v>
      </c>
      <c r="I176" s="1" t="s">
        <v>43</v>
      </c>
      <c r="J176" s="1" t="s">
        <v>44</v>
      </c>
      <c r="K176" s="1" t="s">
        <v>45</v>
      </c>
      <c r="L176" s="1" t="s">
        <v>926</v>
      </c>
      <c r="M176" s="1" t="s">
        <v>62</v>
      </c>
      <c r="N176" s="1">
        <v>3</v>
      </c>
      <c r="O176" s="1" t="s">
        <v>45</v>
      </c>
      <c r="P176" s="1" t="s">
        <v>45</v>
      </c>
      <c r="Q176" s="1" t="s">
        <v>927</v>
      </c>
      <c r="R176" s="1" t="s">
        <v>49</v>
      </c>
      <c r="S176" s="1" t="s">
        <v>50</v>
      </c>
      <c r="T176" s="1" t="s">
        <v>50</v>
      </c>
      <c r="U176" s="1" t="s">
        <v>45</v>
      </c>
      <c r="V176" s="1" t="s">
        <v>45</v>
      </c>
      <c r="W176" s="1" t="s">
        <v>45</v>
      </c>
      <c r="X176" s="1" t="s">
        <v>45</v>
      </c>
      <c r="Y176" s="1" t="s">
        <v>45</v>
      </c>
      <c r="Z176" s="1">
        <v>0</v>
      </c>
      <c r="AA176" s="1" t="s">
        <v>45</v>
      </c>
      <c r="AB176" s="1" t="s">
        <v>45</v>
      </c>
      <c r="AC176" s="1" t="s">
        <v>45</v>
      </c>
      <c r="AD176" s="1" t="s">
        <v>45</v>
      </c>
      <c r="AE176" s="1" t="s">
        <v>45</v>
      </c>
      <c r="AF176" s="1" t="s">
        <v>51</v>
      </c>
      <c r="AG176" s="1" t="s">
        <v>45</v>
      </c>
      <c r="AH176" s="1" t="s">
        <v>45</v>
      </c>
      <c r="AI176" s="1" t="s">
        <v>45</v>
      </c>
      <c r="AJ176" s="1" t="s">
        <v>45</v>
      </c>
      <c r="AK176" s="1" t="s">
        <v>45</v>
      </c>
      <c r="AL176" s="1" t="s">
        <v>49</v>
      </c>
      <c r="AM176" s="1" t="s">
        <v>49</v>
      </c>
      <c r="AN176" s="1">
        <v>0</v>
      </c>
      <c r="AO176" s="1">
        <v>0</v>
      </c>
      <c r="AP176" s="1">
        <v>0</v>
      </c>
    </row>
    <row r="177" spans="1:42" x14ac:dyDescent="0.25">
      <c r="A177" s="1" t="s">
        <v>928</v>
      </c>
      <c r="B177" s="1" t="s">
        <v>929</v>
      </c>
      <c r="C177" s="1" t="s">
        <v>930</v>
      </c>
      <c r="D177" s="1" t="str">
        <f t="shared" si="20"/>
        <v>RICO RODRIGUEZ</v>
      </c>
      <c r="E177" s="1" t="str">
        <f t="shared" si="27"/>
        <v>ALBERTO ESMAIKLER</v>
      </c>
      <c r="F177" s="1" t="s">
        <v>41</v>
      </c>
      <c r="G177" s="1" t="s">
        <v>42</v>
      </c>
      <c r="H177" s="1" t="s">
        <v>42</v>
      </c>
      <c r="I177" s="1" t="s">
        <v>43</v>
      </c>
      <c r="J177" s="1" t="s">
        <v>44</v>
      </c>
      <c r="K177" s="1" t="s">
        <v>931</v>
      </c>
      <c r="L177" s="1" t="s">
        <v>932</v>
      </c>
      <c r="M177" s="1" t="s">
        <v>62</v>
      </c>
      <c r="N177" s="1">
        <v>3</v>
      </c>
      <c r="O177" s="1" t="s">
        <v>45</v>
      </c>
      <c r="P177" s="1" t="s">
        <v>45</v>
      </c>
      <c r="Q177" s="1" t="s">
        <v>933</v>
      </c>
      <c r="R177" s="1" t="s">
        <v>49</v>
      </c>
      <c r="S177" s="1" t="s">
        <v>50</v>
      </c>
      <c r="T177" s="1" t="s">
        <v>50</v>
      </c>
      <c r="U177" s="1" t="s">
        <v>45</v>
      </c>
      <c r="V177" s="1" t="s">
        <v>45</v>
      </c>
      <c r="W177" s="1" t="s">
        <v>45</v>
      </c>
      <c r="X177" s="1" t="s">
        <v>45</v>
      </c>
      <c r="Y177" s="1" t="s">
        <v>45</v>
      </c>
      <c r="Z177" s="1">
        <v>0</v>
      </c>
      <c r="AA177" s="1" t="s">
        <v>45</v>
      </c>
      <c r="AB177" s="1" t="s">
        <v>45</v>
      </c>
      <c r="AC177" s="1" t="s">
        <v>45</v>
      </c>
      <c r="AD177" s="1" t="s">
        <v>45</v>
      </c>
      <c r="AE177" s="1" t="s">
        <v>45</v>
      </c>
      <c r="AF177" s="1" t="s">
        <v>51</v>
      </c>
      <c r="AG177" s="1" t="s">
        <v>45</v>
      </c>
      <c r="AH177" s="1" t="s">
        <v>45</v>
      </c>
      <c r="AI177" s="1" t="s">
        <v>45</v>
      </c>
      <c r="AJ177" s="1" t="s">
        <v>45</v>
      </c>
      <c r="AK177" s="1" t="s">
        <v>45</v>
      </c>
      <c r="AL177" s="1" t="s">
        <v>49</v>
      </c>
      <c r="AM177" s="1" t="s">
        <v>49</v>
      </c>
      <c r="AN177" s="1">
        <v>0</v>
      </c>
      <c r="AO177" s="1">
        <v>0</v>
      </c>
      <c r="AP177" s="1">
        <v>0</v>
      </c>
    </row>
    <row r="178" spans="1:42" x14ac:dyDescent="0.25">
      <c r="A178" s="1" t="s">
        <v>934</v>
      </c>
      <c r="B178" s="1" t="s">
        <v>935</v>
      </c>
      <c r="C178" s="1" t="s">
        <v>936</v>
      </c>
      <c r="D178" s="1" t="str">
        <f t="shared" si="20"/>
        <v>RIVAS BELESACA</v>
      </c>
      <c r="E178" s="1" t="str">
        <f t="shared" si="27"/>
        <v>ARACELY CAROLINA</v>
      </c>
      <c r="F178" s="1" t="s">
        <v>41</v>
      </c>
      <c r="G178" s="1" t="s">
        <v>42</v>
      </c>
      <c r="H178" s="1" t="s">
        <v>42</v>
      </c>
      <c r="I178" s="1" t="s">
        <v>43</v>
      </c>
      <c r="J178" s="1" t="s">
        <v>44</v>
      </c>
      <c r="K178" s="1" t="s">
        <v>45</v>
      </c>
      <c r="L178" s="1" t="s">
        <v>1177</v>
      </c>
      <c r="M178" s="1" t="s">
        <v>47</v>
      </c>
      <c r="N178" s="1">
        <v>134</v>
      </c>
      <c r="O178" s="1" t="s">
        <v>45</v>
      </c>
      <c r="P178" s="1" t="s">
        <v>45</v>
      </c>
      <c r="Q178" s="1" t="s">
        <v>937</v>
      </c>
      <c r="R178" s="1" t="s">
        <v>49</v>
      </c>
      <c r="S178" s="1" t="s">
        <v>50</v>
      </c>
      <c r="T178" s="1" t="s">
        <v>50</v>
      </c>
      <c r="U178" s="1" t="s">
        <v>45</v>
      </c>
      <c r="V178" s="1" t="s">
        <v>45</v>
      </c>
      <c r="W178" s="1" t="s">
        <v>45</v>
      </c>
      <c r="X178" s="1" t="s">
        <v>45</v>
      </c>
      <c r="Y178" s="1" t="s">
        <v>45</v>
      </c>
      <c r="Z178" s="1">
        <v>0</v>
      </c>
      <c r="AA178" s="1" t="s">
        <v>45</v>
      </c>
      <c r="AB178" s="1" t="s">
        <v>45</v>
      </c>
      <c r="AC178" s="1" t="s">
        <v>45</v>
      </c>
      <c r="AD178" s="1" t="s">
        <v>45</v>
      </c>
      <c r="AE178" s="1" t="s">
        <v>45</v>
      </c>
      <c r="AF178" s="1" t="s">
        <v>51</v>
      </c>
      <c r="AG178" s="1" t="s">
        <v>45</v>
      </c>
      <c r="AH178" s="1" t="s">
        <v>45</v>
      </c>
      <c r="AI178" s="1" t="s">
        <v>45</v>
      </c>
      <c r="AJ178" s="1" t="s">
        <v>45</v>
      </c>
      <c r="AK178" s="1" t="s">
        <v>45</v>
      </c>
      <c r="AL178" s="1" t="s">
        <v>49</v>
      </c>
      <c r="AM178" s="1" t="s">
        <v>49</v>
      </c>
      <c r="AN178" s="1">
        <v>0</v>
      </c>
      <c r="AO178" s="1">
        <v>0</v>
      </c>
      <c r="AP178" s="1">
        <v>0</v>
      </c>
    </row>
    <row r="179" spans="1:42" x14ac:dyDescent="0.25">
      <c r="A179" s="1" t="s">
        <v>938</v>
      </c>
      <c r="B179" s="1" t="s">
        <v>939</v>
      </c>
      <c r="C179" s="1" t="s">
        <v>940</v>
      </c>
      <c r="D179" s="1" t="str">
        <f t="shared" si="20"/>
        <v>RIVERA UGARTE</v>
      </c>
      <c r="E179" s="1" t="str">
        <f t="shared" si="27"/>
        <v>FRANCISCO ALFONSO</v>
      </c>
      <c r="F179" s="1" t="s">
        <v>41</v>
      </c>
      <c r="G179" s="1" t="s">
        <v>42</v>
      </c>
      <c r="H179" s="1" t="s">
        <v>42</v>
      </c>
      <c r="I179" s="1" t="s">
        <v>43</v>
      </c>
      <c r="J179" s="1" t="s">
        <v>44</v>
      </c>
      <c r="K179" s="1" t="s">
        <v>45</v>
      </c>
      <c r="L179" s="1" t="s">
        <v>941</v>
      </c>
      <c r="M179" s="1" t="s">
        <v>47</v>
      </c>
      <c r="N179" s="1">
        <v>134</v>
      </c>
      <c r="O179" s="1" t="s">
        <v>45</v>
      </c>
      <c r="P179" s="1" t="s">
        <v>45</v>
      </c>
      <c r="Q179" s="1" t="s">
        <v>942</v>
      </c>
      <c r="R179" s="1" t="s">
        <v>49</v>
      </c>
      <c r="S179" s="1" t="s">
        <v>50</v>
      </c>
      <c r="T179" s="1" t="s">
        <v>50</v>
      </c>
      <c r="U179" s="1" t="s">
        <v>45</v>
      </c>
      <c r="V179" s="1" t="s">
        <v>45</v>
      </c>
      <c r="W179" s="1" t="s">
        <v>45</v>
      </c>
      <c r="X179" s="1" t="s">
        <v>45</v>
      </c>
      <c r="Y179" s="1" t="s">
        <v>45</v>
      </c>
      <c r="Z179" s="1">
        <v>0</v>
      </c>
      <c r="AA179" s="1" t="s">
        <v>45</v>
      </c>
      <c r="AB179" s="1" t="s">
        <v>45</v>
      </c>
      <c r="AC179" s="1" t="s">
        <v>45</v>
      </c>
      <c r="AD179" s="1" t="s">
        <v>45</v>
      </c>
      <c r="AE179" s="1" t="s">
        <v>45</v>
      </c>
      <c r="AF179" s="1" t="s">
        <v>51</v>
      </c>
      <c r="AG179" s="1" t="s">
        <v>45</v>
      </c>
      <c r="AH179" s="1" t="s">
        <v>45</v>
      </c>
      <c r="AI179" s="1" t="s">
        <v>45</v>
      </c>
      <c r="AJ179" s="1" t="s">
        <v>45</v>
      </c>
      <c r="AK179" s="1" t="s">
        <v>45</v>
      </c>
      <c r="AL179" s="1" t="s">
        <v>49</v>
      </c>
      <c r="AM179" s="1" t="s">
        <v>49</v>
      </c>
      <c r="AN179" s="1">
        <v>0</v>
      </c>
      <c r="AO179" s="1">
        <v>0</v>
      </c>
      <c r="AP179" s="1">
        <v>0</v>
      </c>
    </row>
    <row r="180" spans="1:42" x14ac:dyDescent="0.25">
      <c r="A180" s="1" t="s">
        <v>943</v>
      </c>
      <c r="B180" s="1" t="s">
        <v>944</v>
      </c>
      <c r="C180" s="1" t="s">
        <v>945</v>
      </c>
      <c r="D180" s="1" t="str">
        <f t="shared" si="20"/>
        <v>RODRIGUEZ POLANCO</v>
      </c>
      <c r="E180" s="1" t="str">
        <f t="shared" si="27"/>
        <v>ROSA SABINA</v>
      </c>
      <c r="F180" s="1" t="s">
        <v>41</v>
      </c>
      <c r="G180" s="1" t="s">
        <v>42</v>
      </c>
      <c r="H180" s="1" t="s">
        <v>42</v>
      </c>
      <c r="I180" s="1" t="s">
        <v>43</v>
      </c>
      <c r="J180" s="1" t="s">
        <v>44</v>
      </c>
      <c r="K180" s="1" t="s">
        <v>45</v>
      </c>
      <c r="L180" s="1" t="s">
        <v>85</v>
      </c>
      <c r="M180" s="1" t="s">
        <v>69</v>
      </c>
      <c r="N180" s="1">
        <v>58</v>
      </c>
      <c r="O180" s="1" t="s">
        <v>45</v>
      </c>
      <c r="P180" s="1" t="s">
        <v>45</v>
      </c>
      <c r="Q180" s="1" t="s">
        <v>946</v>
      </c>
      <c r="R180" s="1" t="s">
        <v>49</v>
      </c>
      <c r="S180" s="1" t="s">
        <v>50</v>
      </c>
      <c r="T180" s="1" t="s">
        <v>50</v>
      </c>
      <c r="U180" s="1" t="s">
        <v>45</v>
      </c>
      <c r="V180" s="1" t="s">
        <v>45</v>
      </c>
      <c r="W180" s="1" t="s">
        <v>45</v>
      </c>
      <c r="X180" s="1" t="s">
        <v>45</v>
      </c>
      <c r="Y180" s="1" t="s">
        <v>45</v>
      </c>
      <c r="Z180" s="1">
        <v>0</v>
      </c>
      <c r="AA180" s="1" t="s">
        <v>45</v>
      </c>
      <c r="AB180" s="1" t="s">
        <v>45</v>
      </c>
      <c r="AC180" s="1" t="s">
        <v>45</v>
      </c>
      <c r="AD180" s="1" t="s">
        <v>45</v>
      </c>
      <c r="AE180" s="1" t="s">
        <v>45</v>
      </c>
      <c r="AF180" s="1" t="s">
        <v>51</v>
      </c>
      <c r="AG180" s="1" t="s">
        <v>45</v>
      </c>
      <c r="AH180" s="1" t="s">
        <v>45</v>
      </c>
      <c r="AI180" s="1" t="s">
        <v>45</v>
      </c>
      <c r="AJ180" s="1" t="s">
        <v>45</v>
      </c>
      <c r="AK180" s="1" t="s">
        <v>45</v>
      </c>
      <c r="AL180" s="1" t="s">
        <v>49</v>
      </c>
      <c r="AM180" s="1" t="s">
        <v>49</v>
      </c>
      <c r="AN180" s="1">
        <v>0</v>
      </c>
      <c r="AO180" s="1">
        <v>0</v>
      </c>
      <c r="AP180" s="1">
        <v>0</v>
      </c>
    </row>
    <row r="181" spans="1:42" x14ac:dyDescent="0.25">
      <c r="A181" s="1" t="s">
        <v>947</v>
      </c>
      <c r="B181" s="1" t="s">
        <v>948</v>
      </c>
      <c r="C181" s="1" t="s">
        <v>949</v>
      </c>
      <c r="D181" s="1" t="str">
        <f t="shared" si="20"/>
        <v>RODRIGUEZ ROMERO</v>
      </c>
      <c r="E181" s="1" t="str">
        <f t="shared" si="27"/>
        <v>FAUSTO ALEX</v>
      </c>
      <c r="F181" s="1" t="s">
        <v>41</v>
      </c>
      <c r="G181" s="1" t="s">
        <v>42</v>
      </c>
      <c r="H181" s="1" t="s">
        <v>42</v>
      </c>
      <c r="I181" s="1" t="s">
        <v>43</v>
      </c>
      <c r="J181" s="1" t="s">
        <v>44</v>
      </c>
      <c r="K181" s="1" t="s">
        <v>45</v>
      </c>
      <c r="L181" s="1" t="s">
        <v>950</v>
      </c>
      <c r="M181" s="1" t="s">
        <v>62</v>
      </c>
      <c r="N181" s="1">
        <v>3</v>
      </c>
      <c r="O181" s="1" t="s">
        <v>45</v>
      </c>
      <c r="P181" s="1" t="s">
        <v>45</v>
      </c>
      <c r="Q181" s="1" t="s">
        <v>951</v>
      </c>
      <c r="R181" s="1" t="s">
        <v>49</v>
      </c>
      <c r="S181" s="1" t="s">
        <v>50</v>
      </c>
      <c r="T181" s="1" t="s">
        <v>50</v>
      </c>
      <c r="U181" s="1" t="s">
        <v>45</v>
      </c>
      <c r="V181" s="1" t="s">
        <v>45</v>
      </c>
      <c r="W181" s="1" t="s">
        <v>45</v>
      </c>
      <c r="X181" s="1" t="s">
        <v>45</v>
      </c>
      <c r="Y181" s="1" t="s">
        <v>45</v>
      </c>
      <c r="Z181" s="1">
        <v>0</v>
      </c>
      <c r="AA181" s="1" t="s">
        <v>45</v>
      </c>
      <c r="AB181" s="1" t="s">
        <v>45</v>
      </c>
      <c r="AC181" s="1" t="s">
        <v>45</v>
      </c>
      <c r="AD181" s="1" t="s">
        <v>45</v>
      </c>
      <c r="AE181" s="1" t="s">
        <v>45</v>
      </c>
      <c r="AF181" s="1" t="s">
        <v>51</v>
      </c>
      <c r="AG181" s="1" t="s">
        <v>45</v>
      </c>
      <c r="AH181" s="1" t="s">
        <v>45</v>
      </c>
      <c r="AI181" s="1" t="s">
        <v>45</v>
      </c>
      <c r="AJ181" s="1" t="s">
        <v>45</v>
      </c>
      <c r="AK181" s="1" t="s">
        <v>45</v>
      </c>
      <c r="AL181" s="1" t="s">
        <v>49</v>
      </c>
      <c r="AM181" s="1" t="s">
        <v>49</v>
      </c>
      <c r="AN181" s="1">
        <v>0</v>
      </c>
      <c r="AO181" s="1">
        <v>0</v>
      </c>
      <c r="AP181" s="1">
        <v>0</v>
      </c>
    </row>
    <row r="182" spans="1:42" x14ac:dyDescent="0.25">
      <c r="A182" s="1" t="s">
        <v>952</v>
      </c>
      <c r="B182" s="1" t="s">
        <v>953</v>
      </c>
      <c r="C182" s="1" t="s">
        <v>954</v>
      </c>
      <c r="D182" s="1" t="str">
        <f t="shared" si="20"/>
        <v>ROMERO MACAS</v>
      </c>
      <c r="E182" s="1" t="str">
        <f t="shared" si="27"/>
        <v>GLENDA MAGALY</v>
      </c>
      <c r="F182" s="1" t="s">
        <v>41</v>
      </c>
      <c r="G182" s="1" t="s">
        <v>42</v>
      </c>
      <c r="H182" s="1" t="s">
        <v>42</v>
      </c>
      <c r="I182" s="1" t="s">
        <v>43</v>
      </c>
      <c r="J182" s="1" t="s">
        <v>44</v>
      </c>
      <c r="K182" s="1" t="s">
        <v>955</v>
      </c>
      <c r="L182" s="1" t="s">
        <v>956</v>
      </c>
      <c r="M182" s="1" t="s">
        <v>62</v>
      </c>
      <c r="N182" s="1">
        <v>3</v>
      </c>
      <c r="O182" s="1" t="s">
        <v>957</v>
      </c>
      <c r="P182" s="1" t="s">
        <v>45</v>
      </c>
      <c r="Q182" s="1" t="s">
        <v>958</v>
      </c>
      <c r="R182" s="1" t="s">
        <v>49</v>
      </c>
      <c r="S182" s="1" t="s">
        <v>50</v>
      </c>
      <c r="T182" s="1" t="s">
        <v>50</v>
      </c>
      <c r="U182" s="1" t="s">
        <v>45</v>
      </c>
      <c r="V182" s="1" t="s">
        <v>45</v>
      </c>
      <c r="W182" s="1" t="s">
        <v>45</v>
      </c>
      <c r="X182" s="1" t="s">
        <v>45</v>
      </c>
      <c r="Y182" s="1" t="s">
        <v>45</v>
      </c>
      <c r="Z182" s="1">
        <v>0</v>
      </c>
      <c r="AA182" s="1" t="s">
        <v>45</v>
      </c>
      <c r="AB182" s="1" t="s">
        <v>45</v>
      </c>
      <c r="AC182" s="1" t="s">
        <v>45</v>
      </c>
      <c r="AD182" s="1" t="s">
        <v>45</v>
      </c>
      <c r="AE182" s="1" t="s">
        <v>45</v>
      </c>
      <c r="AF182" s="1" t="s">
        <v>51</v>
      </c>
      <c r="AG182" s="1" t="s">
        <v>45</v>
      </c>
      <c r="AH182" s="1" t="s">
        <v>45</v>
      </c>
      <c r="AI182" s="1" t="s">
        <v>45</v>
      </c>
      <c r="AJ182" s="1" t="s">
        <v>45</v>
      </c>
      <c r="AK182" s="1" t="s">
        <v>45</v>
      </c>
      <c r="AL182" s="1" t="s">
        <v>49</v>
      </c>
      <c r="AM182" s="1" t="s">
        <v>49</v>
      </c>
      <c r="AN182" s="1">
        <v>0</v>
      </c>
      <c r="AO182" s="1">
        <v>0</v>
      </c>
      <c r="AP182" s="1">
        <v>0</v>
      </c>
    </row>
    <row r="183" spans="1:42" x14ac:dyDescent="0.25">
      <c r="A183" s="1" t="s">
        <v>959</v>
      </c>
      <c r="B183" s="1" t="s">
        <v>960</v>
      </c>
      <c r="C183" s="1" t="s">
        <v>961</v>
      </c>
      <c r="D183" s="1" t="str">
        <f t="shared" si="20"/>
        <v>ROSALES MENDEZ</v>
      </c>
      <c r="E183" s="1" t="str">
        <f t="shared" si="27"/>
        <v>YANDIRA</v>
      </c>
      <c r="F183" s="1" t="s">
        <v>41</v>
      </c>
      <c r="G183" s="1" t="s">
        <v>42</v>
      </c>
      <c r="H183" s="1" t="s">
        <v>42</v>
      </c>
      <c r="I183" s="1" t="s">
        <v>43</v>
      </c>
      <c r="J183" s="1" t="s">
        <v>44</v>
      </c>
      <c r="K183" s="1" t="s">
        <v>45</v>
      </c>
      <c r="L183" s="1" t="s">
        <v>665</v>
      </c>
      <c r="M183" s="1" t="s">
        <v>69</v>
      </c>
      <c r="N183" s="1">
        <v>58</v>
      </c>
      <c r="O183" s="1" t="s">
        <v>45</v>
      </c>
      <c r="P183" s="1" t="s">
        <v>45</v>
      </c>
      <c r="Q183" s="1" t="s">
        <v>771</v>
      </c>
      <c r="R183" s="1" t="s">
        <v>49</v>
      </c>
      <c r="S183" s="1" t="s">
        <v>50</v>
      </c>
      <c r="T183" s="1" t="s">
        <v>50</v>
      </c>
      <c r="U183" s="1" t="s">
        <v>45</v>
      </c>
      <c r="V183" s="1" t="s">
        <v>45</v>
      </c>
      <c r="W183" s="1" t="s">
        <v>45</v>
      </c>
      <c r="X183" s="1" t="s">
        <v>45</v>
      </c>
      <c r="Y183" s="1" t="s">
        <v>45</v>
      </c>
      <c r="Z183" s="1">
        <v>0</v>
      </c>
      <c r="AA183" s="1" t="s">
        <v>45</v>
      </c>
      <c r="AB183" s="1" t="s">
        <v>45</v>
      </c>
      <c r="AC183" s="1" t="s">
        <v>45</v>
      </c>
      <c r="AD183" s="1" t="s">
        <v>45</v>
      </c>
      <c r="AE183" s="1" t="s">
        <v>45</v>
      </c>
      <c r="AF183" s="1" t="s">
        <v>51</v>
      </c>
      <c r="AG183" s="1" t="s">
        <v>45</v>
      </c>
      <c r="AH183" s="1" t="s">
        <v>45</v>
      </c>
      <c r="AI183" s="1" t="s">
        <v>45</v>
      </c>
      <c r="AJ183" s="1" t="s">
        <v>45</v>
      </c>
      <c r="AK183" s="1" t="s">
        <v>45</v>
      </c>
      <c r="AL183" s="1" t="s">
        <v>49</v>
      </c>
      <c r="AM183" s="1" t="s">
        <v>49</v>
      </c>
      <c r="AN183" s="1">
        <v>0</v>
      </c>
      <c r="AO183" s="1">
        <v>0</v>
      </c>
      <c r="AP183" s="1">
        <v>0</v>
      </c>
    </row>
    <row r="184" spans="1:42" x14ac:dyDescent="0.25">
      <c r="A184" s="1" t="s">
        <v>962</v>
      </c>
      <c r="B184" s="1" t="s">
        <v>963</v>
      </c>
      <c r="C184" s="1" t="s">
        <v>964</v>
      </c>
      <c r="D184" s="1" t="str">
        <f t="shared" si="20"/>
        <v>SALINAS VALAREZO</v>
      </c>
      <c r="E184" s="1" t="str">
        <f t="shared" si="27"/>
        <v>FRANCISCO EVELIO</v>
      </c>
      <c r="F184" s="1" t="s">
        <v>41</v>
      </c>
      <c r="G184" s="1" t="s">
        <v>42</v>
      </c>
      <c r="H184" s="1" t="s">
        <v>42</v>
      </c>
      <c r="I184" s="1" t="s">
        <v>43</v>
      </c>
      <c r="J184" s="1" t="s">
        <v>44</v>
      </c>
      <c r="K184" s="1" t="s">
        <v>45</v>
      </c>
      <c r="L184" s="1" t="s">
        <v>665</v>
      </c>
      <c r="M184" s="1" t="s">
        <v>69</v>
      </c>
      <c r="N184" s="1">
        <v>58</v>
      </c>
      <c r="O184" s="1" t="s">
        <v>965</v>
      </c>
      <c r="P184" s="1" t="s">
        <v>45</v>
      </c>
      <c r="Q184" s="1" t="s">
        <v>299</v>
      </c>
      <c r="R184" s="1" t="s">
        <v>49</v>
      </c>
      <c r="S184" s="1" t="s">
        <v>50</v>
      </c>
      <c r="T184" s="1" t="s">
        <v>50</v>
      </c>
      <c r="U184" s="1" t="s">
        <v>45</v>
      </c>
      <c r="V184" s="1" t="s">
        <v>45</v>
      </c>
      <c r="W184" s="1" t="s">
        <v>45</v>
      </c>
      <c r="X184" s="1" t="s">
        <v>45</v>
      </c>
      <c r="Y184" s="1" t="s">
        <v>45</v>
      </c>
      <c r="Z184" s="1">
        <v>0</v>
      </c>
      <c r="AA184" s="1" t="s">
        <v>45</v>
      </c>
      <c r="AB184" s="1" t="s">
        <v>45</v>
      </c>
      <c r="AC184" s="1" t="s">
        <v>45</v>
      </c>
      <c r="AD184" s="1" t="s">
        <v>45</v>
      </c>
      <c r="AE184" s="1" t="s">
        <v>45</v>
      </c>
      <c r="AF184" s="1" t="s">
        <v>51</v>
      </c>
      <c r="AG184" s="1" t="s">
        <v>45</v>
      </c>
      <c r="AH184" s="1" t="s">
        <v>45</v>
      </c>
      <c r="AI184" s="1" t="s">
        <v>45</v>
      </c>
      <c r="AJ184" s="1" t="s">
        <v>45</v>
      </c>
      <c r="AK184" s="1" t="s">
        <v>45</v>
      </c>
      <c r="AL184" s="1" t="s">
        <v>49</v>
      </c>
      <c r="AM184" s="1" t="s">
        <v>49</v>
      </c>
      <c r="AN184" s="1">
        <v>0</v>
      </c>
      <c r="AO184" s="1">
        <v>0</v>
      </c>
      <c r="AP184" s="1">
        <v>0</v>
      </c>
    </row>
    <row r="185" spans="1:42" x14ac:dyDescent="0.25">
      <c r="A185" s="1" t="s">
        <v>966</v>
      </c>
      <c r="B185" s="1" t="s">
        <v>967</v>
      </c>
      <c r="C185" s="1" t="s">
        <v>968</v>
      </c>
      <c r="D185" s="1" t="str">
        <f t="shared" si="20"/>
        <v>SAMANIEGO CHACON</v>
      </c>
      <c r="E185" s="1" t="str">
        <f t="shared" si="27"/>
        <v>BENJAMIN ELISENDO</v>
      </c>
      <c r="F185" s="1" t="s">
        <v>41</v>
      </c>
      <c r="G185" s="1" t="s">
        <v>42</v>
      </c>
      <c r="H185" s="1" t="s">
        <v>42</v>
      </c>
      <c r="I185" s="1" t="s">
        <v>43</v>
      </c>
      <c r="J185" s="1" t="s">
        <v>44</v>
      </c>
      <c r="K185" s="1" t="s">
        <v>45</v>
      </c>
      <c r="L185" s="1" t="s">
        <v>969</v>
      </c>
      <c r="M185" s="1" t="s">
        <v>69</v>
      </c>
      <c r="N185" s="1">
        <v>58</v>
      </c>
      <c r="O185" s="1" t="s">
        <v>45</v>
      </c>
      <c r="P185" s="1" t="s">
        <v>45</v>
      </c>
      <c r="Q185" s="1" t="s">
        <v>45</v>
      </c>
      <c r="R185" s="1" t="s">
        <v>49</v>
      </c>
      <c r="S185" s="1" t="s">
        <v>50</v>
      </c>
      <c r="T185" s="1" t="s">
        <v>50</v>
      </c>
      <c r="U185" s="1" t="s">
        <v>45</v>
      </c>
      <c r="V185" s="1" t="s">
        <v>45</v>
      </c>
      <c r="W185" s="1" t="s">
        <v>45</v>
      </c>
      <c r="X185" s="1" t="s">
        <v>45</v>
      </c>
      <c r="Y185" s="1" t="s">
        <v>45</v>
      </c>
      <c r="Z185" s="1">
        <v>0</v>
      </c>
      <c r="AA185" s="1" t="s">
        <v>45</v>
      </c>
      <c r="AB185" s="1" t="s">
        <v>45</v>
      </c>
      <c r="AC185" s="1" t="s">
        <v>45</v>
      </c>
      <c r="AD185" s="1" t="s">
        <v>45</v>
      </c>
      <c r="AE185" s="1" t="s">
        <v>45</v>
      </c>
      <c r="AF185" s="1" t="s">
        <v>51</v>
      </c>
      <c r="AG185" s="1" t="s">
        <v>45</v>
      </c>
      <c r="AH185" s="1" t="s">
        <v>45</v>
      </c>
      <c r="AI185" s="1" t="s">
        <v>45</v>
      </c>
      <c r="AJ185" s="1" t="s">
        <v>45</v>
      </c>
      <c r="AK185" s="1" t="s">
        <v>45</v>
      </c>
      <c r="AL185" s="1" t="s">
        <v>49</v>
      </c>
      <c r="AM185" s="1" t="s">
        <v>49</v>
      </c>
      <c r="AN185" s="1">
        <v>0</v>
      </c>
      <c r="AO185" s="1">
        <v>0</v>
      </c>
      <c r="AP185" s="1">
        <v>0</v>
      </c>
    </row>
    <row r="186" spans="1:42" x14ac:dyDescent="0.25">
      <c r="A186" s="1" t="s">
        <v>970</v>
      </c>
      <c r="B186" s="1" t="s">
        <v>971</v>
      </c>
      <c r="C186" s="1" t="s">
        <v>972</v>
      </c>
      <c r="D186" s="1" t="str">
        <f t="shared" si="20"/>
        <v>SANCHEZ NAGUA</v>
      </c>
      <c r="E186" s="1" t="str">
        <f t="shared" si="27"/>
        <v>DARWIN ANIBAL</v>
      </c>
      <c r="F186" s="1" t="s">
        <v>41</v>
      </c>
      <c r="G186" s="1" t="s">
        <v>42</v>
      </c>
      <c r="H186" s="1" t="s">
        <v>42</v>
      </c>
      <c r="I186" s="1" t="s">
        <v>43</v>
      </c>
      <c r="J186" s="1" t="s">
        <v>44</v>
      </c>
      <c r="K186" s="1" t="s">
        <v>973</v>
      </c>
      <c r="L186" s="1" t="s">
        <v>974</v>
      </c>
      <c r="M186" s="1" t="s">
        <v>69</v>
      </c>
      <c r="N186" s="1">
        <v>58</v>
      </c>
      <c r="O186" s="1" t="s">
        <v>45</v>
      </c>
      <c r="P186" s="1" t="s">
        <v>45</v>
      </c>
      <c r="Q186" s="1" t="s">
        <v>975</v>
      </c>
      <c r="R186" s="1" t="s">
        <v>49</v>
      </c>
      <c r="S186" s="1" t="s">
        <v>50</v>
      </c>
      <c r="T186" s="1" t="s">
        <v>50</v>
      </c>
      <c r="U186" s="1" t="s">
        <v>45</v>
      </c>
      <c r="V186" s="1" t="s">
        <v>45</v>
      </c>
      <c r="W186" s="1" t="s">
        <v>45</v>
      </c>
      <c r="X186" s="1" t="s">
        <v>45</v>
      </c>
      <c r="Y186" s="1" t="s">
        <v>45</v>
      </c>
      <c r="Z186" s="1">
        <v>0</v>
      </c>
      <c r="AA186" s="1" t="s">
        <v>45</v>
      </c>
      <c r="AB186" s="1" t="s">
        <v>45</v>
      </c>
      <c r="AC186" s="1" t="s">
        <v>45</v>
      </c>
      <c r="AD186" s="1" t="s">
        <v>45</v>
      </c>
      <c r="AE186" s="1" t="s">
        <v>45</v>
      </c>
      <c r="AF186" s="1" t="s">
        <v>51</v>
      </c>
      <c r="AG186" s="1" t="s">
        <v>45</v>
      </c>
      <c r="AH186" s="1" t="s">
        <v>45</v>
      </c>
      <c r="AI186" s="1" t="s">
        <v>45</v>
      </c>
      <c r="AJ186" s="1" t="s">
        <v>45</v>
      </c>
      <c r="AK186" s="1" t="s">
        <v>45</v>
      </c>
      <c r="AL186" s="1" t="s">
        <v>49</v>
      </c>
      <c r="AM186" s="1" t="s">
        <v>49</v>
      </c>
      <c r="AN186" s="1">
        <v>0</v>
      </c>
      <c r="AO186" s="1">
        <v>0</v>
      </c>
      <c r="AP186" s="1">
        <v>0</v>
      </c>
    </row>
    <row r="187" spans="1:42" x14ac:dyDescent="0.25">
      <c r="A187" s="1" t="s">
        <v>976</v>
      </c>
      <c r="B187" s="1" t="s">
        <v>977</v>
      </c>
      <c r="C187" s="1" t="s">
        <v>978</v>
      </c>
      <c r="D187" s="1" t="str">
        <f t="shared" si="20"/>
        <v>SANCHEZ RIVAS</v>
      </c>
      <c r="E187" s="1" t="str">
        <f t="shared" si="27"/>
        <v>EDWIN JAVIER</v>
      </c>
      <c r="F187" s="1" t="s">
        <v>41</v>
      </c>
      <c r="G187" s="1" t="s">
        <v>42</v>
      </c>
      <c r="H187" s="1" t="s">
        <v>42</v>
      </c>
      <c r="I187" s="1" t="s">
        <v>43</v>
      </c>
      <c r="J187" s="1" t="s">
        <v>44</v>
      </c>
      <c r="K187" s="1" t="s">
        <v>979</v>
      </c>
      <c r="L187" s="1" t="s">
        <v>980</v>
      </c>
      <c r="M187" s="1" t="s">
        <v>69</v>
      </c>
      <c r="N187" s="1">
        <v>58</v>
      </c>
      <c r="O187" s="1" t="s">
        <v>981</v>
      </c>
      <c r="P187" s="1" t="s">
        <v>45</v>
      </c>
      <c r="Q187" s="1" t="s">
        <v>982</v>
      </c>
      <c r="R187" s="1" t="s">
        <v>49</v>
      </c>
      <c r="S187" s="1" t="s">
        <v>50</v>
      </c>
      <c r="T187" s="1" t="s">
        <v>50</v>
      </c>
      <c r="U187" s="1" t="s">
        <v>45</v>
      </c>
      <c r="V187" s="1" t="s">
        <v>45</v>
      </c>
      <c r="W187" s="1" t="s">
        <v>45</v>
      </c>
      <c r="X187" s="1" t="s">
        <v>45</v>
      </c>
      <c r="Y187" s="1" t="s">
        <v>45</v>
      </c>
      <c r="Z187" s="1">
        <v>0</v>
      </c>
      <c r="AA187" s="1" t="s">
        <v>45</v>
      </c>
      <c r="AB187" s="1" t="s">
        <v>45</v>
      </c>
      <c r="AC187" s="1" t="s">
        <v>45</v>
      </c>
      <c r="AD187" s="1" t="s">
        <v>45</v>
      </c>
      <c r="AE187" s="1" t="s">
        <v>45</v>
      </c>
      <c r="AF187" s="1" t="s">
        <v>51</v>
      </c>
      <c r="AG187" s="1" t="s">
        <v>45</v>
      </c>
      <c r="AH187" s="1" t="s">
        <v>45</v>
      </c>
      <c r="AI187" s="1" t="s">
        <v>45</v>
      </c>
      <c r="AJ187" s="1" t="s">
        <v>45</v>
      </c>
      <c r="AK187" s="1" t="s">
        <v>45</v>
      </c>
      <c r="AL187" s="1" t="s">
        <v>49</v>
      </c>
      <c r="AM187" s="1" t="s">
        <v>49</v>
      </c>
      <c r="AN187" s="1">
        <v>0</v>
      </c>
      <c r="AO187" s="1">
        <v>0</v>
      </c>
      <c r="AP187" s="1">
        <v>0</v>
      </c>
    </row>
    <row r="188" spans="1:42" x14ac:dyDescent="0.25">
      <c r="A188" s="1" t="s">
        <v>983</v>
      </c>
      <c r="B188" s="1" t="s">
        <v>984</v>
      </c>
      <c r="C188" s="1" t="s">
        <v>985</v>
      </c>
      <c r="D188" s="1" t="str">
        <f t="shared" si="20"/>
        <v>SARANGO SALAZAR</v>
      </c>
      <c r="E188" s="1" t="str">
        <f t="shared" si="27"/>
        <v>MIRELLA SELENE</v>
      </c>
      <c r="F188" s="1" t="s">
        <v>41</v>
      </c>
      <c r="G188" s="1" t="s">
        <v>42</v>
      </c>
      <c r="H188" s="1" t="s">
        <v>42</v>
      </c>
      <c r="I188" s="1" t="s">
        <v>43</v>
      </c>
      <c r="J188" s="1" t="s">
        <v>44</v>
      </c>
      <c r="K188" s="1" t="s">
        <v>45</v>
      </c>
      <c r="L188" s="1" t="s">
        <v>986</v>
      </c>
      <c r="M188" s="1" t="s">
        <v>62</v>
      </c>
      <c r="N188" s="1">
        <v>3</v>
      </c>
      <c r="O188" s="1" t="s">
        <v>45</v>
      </c>
      <c r="P188" s="1" t="s">
        <v>45</v>
      </c>
      <c r="Q188" s="1" t="s">
        <v>987</v>
      </c>
      <c r="R188" s="1" t="s">
        <v>49</v>
      </c>
      <c r="S188" s="1" t="s">
        <v>50</v>
      </c>
      <c r="T188" s="1" t="s">
        <v>50</v>
      </c>
      <c r="U188" s="1" t="s">
        <v>45</v>
      </c>
      <c r="V188" s="1" t="s">
        <v>45</v>
      </c>
      <c r="W188" s="1" t="s">
        <v>45</v>
      </c>
      <c r="X188" s="1" t="s">
        <v>45</v>
      </c>
      <c r="Y188" s="1" t="s">
        <v>45</v>
      </c>
      <c r="Z188" s="1">
        <v>0</v>
      </c>
      <c r="AA188" s="1" t="s">
        <v>45</v>
      </c>
      <c r="AB188" s="1" t="s">
        <v>45</v>
      </c>
      <c r="AC188" s="1" t="s">
        <v>45</v>
      </c>
      <c r="AD188" s="1" t="s">
        <v>45</v>
      </c>
      <c r="AE188" s="1" t="s">
        <v>45</v>
      </c>
      <c r="AF188" s="1" t="s">
        <v>51</v>
      </c>
      <c r="AG188" s="1" t="s">
        <v>45</v>
      </c>
      <c r="AH188" s="1" t="s">
        <v>45</v>
      </c>
      <c r="AI188" s="1" t="s">
        <v>45</v>
      </c>
      <c r="AJ188" s="1" t="s">
        <v>45</v>
      </c>
      <c r="AK188" s="1" t="s">
        <v>45</v>
      </c>
      <c r="AL188" s="1" t="s">
        <v>49</v>
      </c>
      <c r="AM188" s="1" t="s">
        <v>49</v>
      </c>
      <c r="AN188" s="1">
        <v>0</v>
      </c>
      <c r="AO188" s="1">
        <v>0</v>
      </c>
      <c r="AP188" s="1">
        <v>0</v>
      </c>
    </row>
    <row r="189" spans="1:42" x14ac:dyDescent="0.25">
      <c r="A189" s="1" t="s">
        <v>988</v>
      </c>
      <c r="B189" s="1" t="s">
        <v>989</v>
      </c>
      <c r="C189" s="1" t="s">
        <v>990</v>
      </c>
      <c r="D189" s="1" t="str">
        <f t="shared" si="20"/>
        <v>SARITAMA ELIZALDE</v>
      </c>
      <c r="E189" s="1" t="str">
        <f t="shared" si="27"/>
        <v>MAURICIO ALBERTO</v>
      </c>
      <c r="F189" s="1" t="s">
        <v>41</v>
      </c>
      <c r="G189" s="1" t="s">
        <v>42</v>
      </c>
      <c r="H189" s="1" t="s">
        <v>42</v>
      </c>
      <c r="I189" s="1" t="s">
        <v>43</v>
      </c>
      <c r="J189" s="1" t="s">
        <v>44</v>
      </c>
      <c r="K189" s="1" t="s">
        <v>45</v>
      </c>
      <c r="L189" s="1" t="s">
        <v>991</v>
      </c>
      <c r="M189" s="1" t="s">
        <v>62</v>
      </c>
      <c r="N189" s="1">
        <v>3</v>
      </c>
      <c r="O189" s="1" t="s">
        <v>45</v>
      </c>
      <c r="P189" s="1" t="s">
        <v>45</v>
      </c>
      <c r="Q189" s="1" t="s">
        <v>273</v>
      </c>
      <c r="R189" s="1" t="s">
        <v>49</v>
      </c>
      <c r="S189" s="1" t="s">
        <v>50</v>
      </c>
      <c r="T189" s="1" t="s">
        <v>50</v>
      </c>
      <c r="U189" s="1" t="s">
        <v>45</v>
      </c>
      <c r="V189" s="1" t="s">
        <v>45</v>
      </c>
      <c r="W189" s="1" t="s">
        <v>45</v>
      </c>
      <c r="X189" s="1" t="s">
        <v>45</v>
      </c>
      <c r="Y189" s="1" t="s">
        <v>45</v>
      </c>
      <c r="Z189" s="1">
        <v>0</v>
      </c>
      <c r="AA189" s="1" t="s">
        <v>45</v>
      </c>
      <c r="AB189" s="1" t="s">
        <v>45</v>
      </c>
      <c r="AC189" s="1" t="s">
        <v>45</v>
      </c>
      <c r="AD189" s="1" t="s">
        <v>45</v>
      </c>
      <c r="AE189" s="1" t="s">
        <v>45</v>
      </c>
      <c r="AF189" s="1" t="s">
        <v>51</v>
      </c>
      <c r="AG189" s="1" t="s">
        <v>45</v>
      </c>
      <c r="AH189" s="1" t="s">
        <v>45</v>
      </c>
      <c r="AI189" s="1" t="s">
        <v>45</v>
      </c>
      <c r="AJ189" s="1" t="s">
        <v>45</v>
      </c>
      <c r="AK189" s="1" t="s">
        <v>45</v>
      </c>
      <c r="AL189" s="1" t="s">
        <v>49</v>
      </c>
      <c r="AM189" s="1" t="s">
        <v>49</v>
      </c>
      <c r="AN189" s="1">
        <v>0</v>
      </c>
      <c r="AO189" s="1">
        <v>0</v>
      </c>
      <c r="AP189" s="1">
        <v>0</v>
      </c>
    </row>
    <row r="190" spans="1:42" x14ac:dyDescent="0.25">
      <c r="A190" s="1" t="s">
        <v>992</v>
      </c>
      <c r="B190" s="1" t="s">
        <v>993</v>
      </c>
      <c r="C190" s="1" t="s">
        <v>994</v>
      </c>
      <c r="D190" s="1" t="str">
        <f t="shared" si="20"/>
        <v>SERRANO RIZZO</v>
      </c>
      <c r="E190" s="1" t="str">
        <f t="shared" si="27"/>
        <v>FAUSTO</v>
      </c>
      <c r="F190" s="1" t="s">
        <v>41</v>
      </c>
      <c r="G190" s="1" t="s">
        <v>42</v>
      </c>
      <c r="H190" s="1" t="s">
        <v>42</v>
      </c>
      <c r="I190" s="1" t="s">
        <v>43</v>
      </c>
      <c r="J190" s="1" t="s">
        <v>44</v>
      </c>
      <c r="K190" s="1" t="s">
        <v>45</v>
      </c>
      <c r="L190" s="1" t="s">
        <v>995</v>
      </c>
      <c r="M190" s="1" t="s">
        <v>62</v>
      </c>
      <c r="N190" s="1">
        <v>3</v>
      </c>
      <c r="O190" s="1" t="s">
        <v>45</v>
      </c>
      <c r="P190" s="1" t="s">
        <v>45</v>
      </c>
      <c r="Q190" s="1" t="s">
        <v>996</v>
      </c>
      <c r="R190" s="1" t="s">
        <v>49</v>
      </c>
      <c r="S190" s="1" t="s">
        <v>50</v>
      </c>
      <c r="T190" s="1" t="s">
        <v>50</v>
      </c>
      <c r="U190" s="1" t="s">
        <v>45</v>
      </c>
      <c r="V190" s="1" t="s">
        <v>45</v>
      </c>
      <c r="W190" s="1" t="s">
        <v>45</v>
      </c>
      <c r="X190" s="1" t="s">
        <v>45</v>
      </c>
      <c r="Y190" s="1" t="s">
        <v>45</v>
      </c>
      <c r="Z190" s="1">
        <v>0</v>
      </c>
      <c r="AA190" s="1" t="s">
        <v>45</v>
      </c>
      <c r="AB190" s="1" t="s">
        <v>45</v>
      </c>
      <c r="AC190" s="1" t="s">
        <v>45</v>
      </c>
      <c r="AD190" s="1" t="s">
        <v>45</v>
      </c>
      <c r="AE190" s="1" t="s">
        <v>45</v>
      </c>
      <c r="AF190" s="1" t="s">
        <v>51</v>
      </c>
      <c r="AG190" s="1" t="s">
        <v>45</v>
      </c>
      <c r="AH190" s="1" t="s">
        <v>45</v>
      </c>
      <c r="AI190" s="1" t="s">
        <v>45</v>
      </c>
      <c r="AJ190" s="1" t="s">
        <v>45</v>
      </c>
      <c r="AK190" s="1" t="s">
        <v>45</v>
      </c>
      <c r="AL190" s="1" t="s">
        <v>49</v>
      </c>
      <c r="AM190" s="1" t="s">
        <v>49</v>
      </c>
      <c r="AN190" s="1">
        <v>0</v>
      </c>
      <c r="AO190" s="1">
        <v>0</v>
      </c>
      <c r="AP190" s="1">
        <v>0</v>
      </c>
    </row>
    <row r="191" spans="1:42" x14ac:dyDescent="0.25">
      <c r="A191" s="1" t="s">
        <v>997</v>
      </c>
      <c r="B191" s="1" t="s">
        <v>998</v>
      </c>
      <c r="C191" s="1" t="s">
        <v>999</v>
      </c>
      <c r="D191" s="1" t="str">
        <f>+C191</f>
        <v>SERVICIOS Y TRANSPORTE FIDAP S A</v>
      </c>
      <c r="F191" s="1" t="s">
        <v>41</v>
      </c>
      <c r="G191" s="1" t="s">
        <v>42</v>
      </c>
      <c r="H191" s="1" t="s">
        <v>42</v>
      </c>
      <c r="I191" s="1" t="s">
        <v>43</v>
      </c>
      <c r="J191" s="1" t="s">
        <v>44</v>
      </c>
      <c r="K191" s="1" t="s">
        <v>45</v>
      </c>
      <c r="L191" s="1" t="s">
        <v>1000</v>
      </c>
      <c r="M191" s="1" t="s">
        <v>69</v>
      </c>
      <c r="N191" s="1">
        <v>58</v>
      </c>
      <c r="O191" s="1" t="s">
        <v>45</v>
      </c>
      <c r="P191" s="1" t="s">
        <v>45</v>
      </c>
      <c r="Q191" s="1" t="s">
        <v>1001</v>
      </c>
      <c r="R191" s="1" t="s">
        <v>49</v>
      </c>
      <c r="S191" s="1" t="s">
        <v>50</v>
      </c>
      <c r="T191" s="1" t="s">
        <v>50</v>
      </c>
      <c r="U191" s="1" t="s">
        <v>45</v>
      </c>
      <c r="V191" s="1" t="s">
        <v>45</v>
      </c>
      <c r="W191" s="1" t="s">
        <v>45</v>
      </c>
      <c r="X191" s="1" t="s">
        <v>45</v>
      </c>
      <c r="Y191" s="1" t="s">
        <v>45</v>
      </c>
      <c r="Z191" s="1">
        <v>0</v>
      </c>
      <c r="AA191" s="1" t="s">
        <v>45</v>
      </c>
      <c r="AB191" s="1" t="s">
        <v>45</v>
      </c>
      <c r="AC191" s="1" t="s">
        <v>45</v>
      </c>
      <c r="AD191" s="1" t="s">
        <v>45</v>
      </c>
      <c r="AE191" s="1" t="s">
        <v>45</v>
      </c>
      <c r="AF191" s="1" t="s">
        <v>51</v>
      </c>
      <c r="AG191" s="1" t="s">
        <v>45</v>
      </c>
      <c r="AH191" s="1" t="s">
        <v>45</v>
      </c>
      <c r="AI191" s="1" t="s">
        <v>45</v>
      </c>
      <c r="AJ191" s="1" t="s">
        <v>45</v>
      </c>
      <c r="AK191" s="1" t="s">
        <v>45</v>
      </c>
      <c r="AL191" s="1" t="s">
        <v>49</v>
      </c>
      <c r="AM191" s="1" t="s">
        <v>49</v>
      </c>
      <c r="AN191" s="1">
        <v>0</v>
      </c>
      <c r="AO191" s="1">
        <v>0</v>
      </c>
      <c r="AP191" s="1">
        <v>0</v>
      </c>
    </row>
    <row r="192" spans="1:42" x14ac:dyDescent="0.25">
      <c r="A192" s="1" t="s">
        <v>1002</v>
      </c>
      <c r="B192" s="1" t="s">
        <v>1003</v>
      </c>
      <c r="C192" s="1" t="s">
        <v>1004</v>
      </c>
      <c r="D192" s="1" t="str">
        <f>+C192</f>
        <v>SERVIEXPORT</v>
      </c>
      <c r="F192" s="1" t="s">
        <v>41</v>
      </c>
      <c r="G192" s="1" t="s">
        <v>42</v>
      </c>
      <c r="H192" s="1" t="s">
        <v>42</v>
      </c>
      <c r="I192" s="1" t="s">
        <v>43</v>
      </c>
      <c r="J192" s="1" t="s">
        <v>44</v>
      </c>
      <c r="K192" s="1" t="s">
        <v>45</v>
      </c>
      <c r="L192" s="1" t="s">
        <v>1005</v>
      </c>
      <c r="M192" s="1" t="s">
        <v>97</v>
      </c>
      <c r="N192" s="1">
        <v>217</v>
      </c>
      <c r="O192" s="1" t="s">
        <v>45</v>
      </c>
      <c r="P192" s="1" t="s">
        <v>45</v>
      </c>
      <c r="Q192" s="1" t="s">
        <v>1006</v>
      </c>
      <c r="R192" s="1" t="s">
        <v>49</v>
      </c>
      <c r="S192" s="1" t="s">
        <v>50</v>
      </c>
      <c r="T192" s="1" t="s">
        <v>50</v>
      </c>
      <c r="U192" s="1" t="s">
        <v>45</v>
      </c>
      <c r="V192" s="1" t="s">
        <v>45</v>
      </c>
      <c r="W192" s="1" t="s">
        <v>45</v>
      </c>
      <c r="X192" s="1" t="s">
        <v>45</v>
      </c>
      <c r="Y192" s="1" t="s">
        <v>45</v>
      </c>
      <c r="Z192" s="1">
        <v>0</v>
      </c>
      <c r="AA192" s="1" t="s">
        <v>45</v>
      </c>
      <c r="AB192" s="1" t="s">
        <v>45</v>
      </c>
      <c r="AC192" s="1" t="s">
        <v>45</v>
      </c>
      <c r="AD192" s="1" t="s">
        <v>45</v>
      </c>
      <c r="AE192" s="1" t="s">
        <v>45</v>
      </c>
      <c r="AF192" s="1" t="s">
        <v>51</v>
      </c>
      <c r="AG192" s="1" t="s">
        <v>45</v>
      </c>
      <c r="AH192" s="1" t="s">
        <v>45</v>
      </c>
      <c r="AI192" s="1" t="s">
        <v>45</v>
      </c>
      <c r="AJ192" s="1" t="s">
        <v>45</v>
      </c>
      <c r="AK192" s="1" t="s">
        <v>45</v>
      </c>
      <c r="AL192" s="1" t="s">
        <v>49</v>
      </c>
      <c r="AM192" s="1" t="s">
        <v>49</v>
      </c>
      <c r="AN192" s="1">
        <v>0</v>
      </c>
      <c r="AO192" s="1">
        <v>0</v>
      </c>
      <c r="AP192" s="1">
        <v>0</v>
      </c>
    </row>
    <row r="193" spans="1:42" x14ac:dyDescent="0.25">
      <c r="A193" s="1" t="s">
        <v>1007</v>
      </c>
      <c r="B193" s="1" t="s">
        <v>1008</v>
      </c>
      <c r="C193" s="1" t="s">
        <v>1009</v>
      </c>
      <c r="D193" s="1" t="str">
        <f>+C193</f>
        <v>SERVITRILER ASPE S.A.</v>
      </c>
      <c r="F193" s="1" t="s">
        <v>41</v>
      </c>
      <c r="G193" s="1" t="s">
        <v>42</v>
      </c>
      <c r="H193" s="1" t="s">
        <v>42</v>
      </c>
      <c r="I193" s="1" t="s">
        <v>43</v>
      </c>
      <c r="J193" s="1" t="s">
        <v>44</v>
      </c>
      <c r="K193" s="1" t="s">
        <v>45</v>
      </c>
      <c r="L193" s="1" t="s">
        <v>1010</v>
      </c>
      <c r="M193" s="1" t="s">
        <v>1011</v>
      </c>
      <c r="N193" s="1">
        <v>98</v>
      </c>
      <c r="O193" s="1" t="s">
        <v>45</v>
      </c>
      <c r="P193" s="1" t="s">
        <v>45</v>
      </c>
      <c r="Q193" s="1" t="s">
        <v>1012</v>
      </c>
      <c r="R193" s="1" t="s">
        <v>49</v>
      </c>
      <c r="S193" s="1" t="s">
        <v>50</v>
      </c>
      <c r="T193" s="1" t="s">
        <v>50</v>
      </c>
      <c r="U193" s="1" t="s">
        <v>45</v>
      </c>
      <c r="V193" s="1" t="s">
        <v>45</v>
      </c>
      <c r="W193" s="1" t="s">
        <v>45</v>
      </c>
      <c r="X193" s="1" t="s">
        <v>45</v>
      </c>
      <c r="Y193" s="1" t="s">
        <v>45</v>
      </c>
      <c r="Z193" s="1">
        <v>0</v>
      </c>
      <c r="AA193" s="1" t="s">
        <v>45</v>
      </c>
      <c r="AB193" s="1" t="s">
        <v>45</v>
      </c>
      <c r="AC193" s="1" t="s">
        <v>45</v>
      </c>
      <c r="AD193" s="1" t="s">
        <v>45</v>
      </c>
      <c r="AE193" s="1" t="s">
        <v>45</v>
      </c>
      <c r="AF193" s="1" t="s">
        <v>51</v>
      </c>
      <c r="AG193" s="1" t="s">
        <v>45</v>
      </c>
      <c r="AH193" s="1" t="s">
        <v>45</v>
      </c>
      <c r="AI193" s="1" t="s">
        <v>45</v>
      </c>
      <c r="AJ193" s="1" t="s">
        <v>45</v>
      </c>
      <c r="AK193" s="1" t="s">
        <v>45</v>
      </c>
      <c r="AL193" s="1" t="s">
        <v>49</v>
      </c>
      <c r="AM193" s="1" t="s">
        <v>49</v>
      </c>
      <c r="AN193" s="1">
        <v>0</v>
      </c>
      <c r="AO193" s="1">
        <v>0</v>
      </c>
      <c r="AP193" s="1">
        <v>0</v>
      </c>
    </row>
    <row r="194" spans="1:42" x14ac:dyDescent="0.25">
      <c r="A194" s="1" t="s">
        <v>1013</v>
      </c>
      <c r="B194" s="1" t="s">
        <v>1014</v>
      </c>
      <c r="C194" s="1" t="s">
        <v>1015</v>
      </c>
      <c r="D194" s="1" t="str">
        <f>+C194</f>
        <v>SINDICATO CANTONAL DE CHOFERES PROFESIONALES DEL CANTON EL G</v>
      </c>
      <c r="F194" s="1" t="s">
        <v>41</v>
      </c>
      <c r="G194" s="1" t="s">
        <v>55</v>
      </c>
      <c r="H194" s="1" t="s">
        <v>42</v>
      </c>
      <c r="I194" s="1" t="s">
        <v>43</v>
      </c>
      <c r="J194" s="1" t="s">
        <v>44</v>
      </c>
      <c r="K194" s="1" t="s">
        <v>45</v>
      </c>
      <c r="L194" s="1" t="s">
        <v>1016</v>
      </c>
      <c r="M194" s="1" t="s">
        <v>69</v>
      </c>
      <c r="N194" s="1">
        <v>58</v>
      </c>
      <c r="O194" s="1" t="s">
        <v>1017</v>
      </c>
      <c r="P194" s="1" t="s">
        <v>45</v>
      </c>
      <c r="Q194" s="1" t="s">
        <v>45</v>
      </c>
      <c r="R194" s="1" t="s">
        <v>49</v>
      </c>
      <c r="S194" s="1" t="s">
        <v>50</v>
      </c>
      <c r="T194" s="1" t="s">
        <v>50</v>
      </c>
      <c r="U194" s="1" t="s">
        <v>45</v>
      </c>
      <c r="V194" s="1" t="s">
        <v>45</v>
      </c>
      <c r="W194" s="1" t="s">
        <v>45</v>
      </c>
      <c r="X194" s="1" t="s">
        <v>45</v>
      </c>
      <c r="Y194" s="1" t="s">
        <v>45</v>
      </c>
      <c r="Z194" s="1">
        <v>0</v>
      </c>
      <c r="AA194" s="1" t="s">
        <v>45</v>
      </c>
      <c r="AB194" s="1" t="s">
        <v>45</v>
      </c>
      <c r="AC194" s="1" t="s">
        <v>45</v>
      </c>
      <c r="AD194" s="1" t="s">
        <v>45</v>
      </c>
      <c r="AE194" s="1" t="s">
        <v>45</v>
      </c>
      <c r="AF194" s="1" t="s">
        <v>51</v>
      </c>
      <c r="AG194" s="1" t="s">
        <v>45</v>
      </c>
      <c r="AH194" s="1" t="s">
        <v>45</v>
      </c>
      <c r="AI194" s="1" t="s">
        <v>45</v>
      </c>
      <c r="AJ194" s="1" t="s">
        <v>45</v>
      </c>
      <c r="AK194" s="1" t="s">
        <v>45</v>
      </c>
      <c r="AL194" s="1" t="s">
        <v>49</v>
      </c>
      <c r="AM194" s="1" t="s">
        <v>49</v>
      </c>
      <c r="AN194" s="1">
        <v>0</v>
      </c>
      <c r="AO194" s="1">
        <v>0</v>
      </c>
      <c r="AP194" s="1">
        <v>0</v>
      </c>
    </row>
    <row r="195" spans="1:42" x14ac:dyDescent="0.25">
      <c r="A195" s="1" t="s">
        <v>1018</v>
      </c>
      <c r="B195" s="1" t="s">
        <v>1019</v>
      </c>
      <c r="C195" s="1" t="s">
        <v>1020</v>
      </c>
      <c r="D195" s="1" t="str">
        <f>+C195</f>
        <v>SOCIEDAD CIVIL MINERA GOLDMINS</v>
      </c>
      <c r="F195" s="1" t="s">
        <v>41</v>
      </c>
      <c r="G195" s="1" t="s">
        <v>42</v>
      </c>
      <c r="H195" s="1" t="s">
        <v>42</v>
      </c>
      <c r="I195" s="1" t="s">
        <v>43</v>
      </c>
      <c r="J195" s="1" t="s">
        <v>44</v>
      </c>
      <c r="K195" s="1" t="s">
        <v>45</v>
      </c>
      <c r="L195" s="1" t="s">
        <v>1021</v>
      </c>
      <c r="M195" s="1" t="s">
        <v>1022</v>
      </c>
      <c r="N195" s="1">
        <v>216</v>
      </c>
      <c r="O195" s="1" t="s">
        <v>45</v>
      </c>
      <c r="P195" s="1" t="s">
        <v>45</v>
      </c>
      <c r="Q195" s="1" t="s">
        <v>1023</v>
      </c>
      <c r="R195" s="1" t="s">
        <v>49</v>
      </c>
      <c r="S195" s="1" t="s">
        <v>50</v>
      </c>
      <c r="T195" s="1" t="s">
        <v>50</v>
      </c>
      <c r="U195" s="1" t="s">
        <v>45</v>
      </c>
      <c r="V195" s="1" t="s">
        <v>45</v>
      </c>
      <c r="W195" s="1" t="s">
        <v>45</v>
      </c>
      <c r="X195" s="1" t="s">
        <v>45</v>
      </c>
      <c r="Y195" s="1" t="s">
        <v>45</v>
      </c>
      <c r="Z195" s="1">
        <v>0</v>
      </c>
      <c r="AA195" s="1" t="s">
        <v>45</v>
      </c>
      <c r="AB195" s="1" t="s">
        <v>45</v>
      </c>
      <c r="AC195" s="1" t="s">
        <v>45</v>
      </c>
      <c r="AD195" s="1" t="s">
        <v>45</v>
      </c>
      <c r="AE195" s="1" t="s">
        <v>45</v>
      </c>
      <c r="AF195" s="1" t="s">
        <v>51</v>
      </c>
      <c r="AG195" s="1" t="s">
        <v>45</v>
      </c>
      <c r="AH195" s="1" t="s">
        <v>45</v>
      </c>
      <c r="AI195" s="1" t="s">
        <v>45</v>
      </c>
      <c r="AJ195" s="1" t="s">
        <v>45</v>
      </c>
      <c r="AK195" s="1" t="s">
        <v>45</v>
      </c>
      <c r="AL195" s="1" t="s">
        <v>49</v>
      </c>
      <c r="AM195" s="1" t="s">
        <v>49</v>
      </c>
      <c r="AN195" s="1">
        <v>0</v>
      </c>
      <c r="AO195" s="1">
        <v>0</v>
      </c>
      <c r="AP195" s="1">
        <v>0</v>
      </c>
    </row>
    <row r="196" spans="1:42" x14ac:dyDescent="0.25">
      <c r="A196" s="1" t="s">
        <v>1024</v>
      </c>
      <c r="B196" s="1" t="s">
        <v>1025</v>
      </c>
      <c r="C196" s="1" t="s">
        <v>1026</v>
      </c>
      <c r="D196" s="1" t="str">
        <f t="shared" ref="D196:D219" si="28">LEFT(C196, FIND(" ", C196, FIND(" ", C196) + 1) - 1)</f>
        <v>SOTO VALAREZO</v>
      </c>
      <c r="E196" s="1" t="str">
        <f t="shared" ref="E196:E197" si="29">RIGHT(C196, LEN(C196) - FIND(" ", C196, FIND(" ", C196, FIND(" ", C196) + 0) + 1))</f>
        <v>MARJORIE JANNETH</v>
      </c>
      <c r="F196" s="1" t="s">
        <v>41</v>
      </c>
      <c r="G196" s="1" t="s">
        <v>42</v>
      </c>
      <c r="H196" s="1" t="s">
        <v>42</v>
      </c>
      <c r="I196" s="1" t="s">
        <v>43</v>
      </c>
      <c r="J196" s="1" t="s">
        <v>44</v>
      </c>
      <c r="K196" s="1" t="s">
        <v>45</v>
      </c>
      <c r="L196" s="1" t="s">
        <v>1027</v>
      </c>
      <c r="M196" s="1" t="s">
        <v>69</v>
      </c>
      <c r="N196" s="1">
        <v>58</v>
      </c>
      <c r="O196" s="1" t="s">
        <v>45</v>
      </c>
      <c r="P196" s="1" t="s">
        <v>45</v>
      </c>
      <c r="Q196" s="1" t="s">
        <v>45</v>
      </c>
      <c r="R196" s="1" t="s">
        <v>49</v>
      </c>
      <c r="S196" s="1" t="s">
        <v>50</v>
      </c>
      <c r="T196" s="1" t="s">
        <v>50</v>
      </c>
      <c r="U196" s="1" t="s">
        <v>45</v>
      </c>
      <c r="V196" s="1" t="s">
        <v>45</v>
      </c>
      <c r="W196" s="1" t="s">
        <v>45</v>
      </c>
      <c r="X196" s="1" t="s">
        <v>45</v>
      </c>
      <c r="Y196" s="1" t="s">
        <v>45</v>
      </c>
      <c r="Z196" s="1">
        <v>0</v>
      </c>
      <c r="AA196" s="1" t="s">
        <v>45</v>
      </c>
      <c r="AB196" s="1" t="s">
        <v>45</v>
      </c>
      <c r="AC196" s="1" t="s">
        <v>45</v>
      </c>
      <c r="AD196" s="1" t="s">
        <v>45</v>
      </c>
      <c r="AE196" s="1" t="s">
        <v>45</v>
      </c>
      <c r="AF196" s="1" t="s">
        <v>51</v>
      </c>
      <c r="AG196" s="1" t="s">
        <v>45</v>
      </c>
      <c r="AH196" s="1" t="s">
        <v>45</v>
      </c>
      <c r="AI196" s="1" t="s">
        <v>45</v>
      </c>
      <c r="AJ196" s="1" t="s">
        <v>45</v>
      </c>
      <c r="AK196" s="1" t="s">
        <v>45</v>
      </c>
      <c r="AL196" s="1" t="s">
        <v>49</v>
      </c>
      <c r="AM196" s="1" t="s">
        <v>49</v>
      </c>
      <c r="AN196" s="1">
        <v>0</v>
      </c>
      <c r="AO196" s="1">
        <v>0</v>
      </c>
      <c r="AP196" s="1">
        <v>0</v>
      </c>
    </row>
    <row r="197" spans="1:42" x14ac:dyDescent="0.25">
      <c r="A197" s="1" t="s">
        <v>1028</v>
      </c>
      <c r="B197" s="1" t="s">
        <v>1029</v>
      </c>
      <c r="C197" s="1" t="s">
        <v>1030</v>
      </c>
      <c r="D197" s="1" t="str">
        <f t="shared" si="28"/>
        <v>SUCONOTA UYAGUARI</v>
      </c>
      <c r="E197" s="1" t="str">
        <f t="shared" si="29"/>
        <v>MANUEL JESUS</v>
      </c>
      <c r="F197" s="1" t="s">
        <v>41</v>
      </c>
      <c r="G197" s="1" t="s">
        <v>42</v>
      </c>
      <c r="H197" s="1" t="s">
        <v>42</v>
      </c>
      <c r="I197" s="1" t="s">
        <v>43</v>
      </c>
      <c r="J197" s="1" t="s">
        <v>44</v>
      </c>
      <c r="K197" s="1" t="s">
        <v>45</v>
      </c>
      <c r="L197" s="1" t="s">
        <v>1031</v>
      </c>
      <c r="M197" s="1" t="s">
        <v>69</v>
      </c>
      <c r="N197" s="1">
        <v>58</v>
      </c>
      <c r="O197" s="1" t="s">
        <v>45</v>
      </c>
      <c r="P197" s="1" t="s">
        <v>45</v>
      </c>
      <c r="Q197" s="1" t="s">
        <v>1032</v>
      </c>
      <c r="R197" s="1" t="s">
        <v>49</v>
      </c>
      <c r="S197" s="1" t="s">
        <v>50</v>
      </c>
      <c r="T197" s="1" t="s">
        <v>50</v>
      </c>
      <c r="U197" s="1" t="s">
        <v>45</v>
      </c>
      <c r="V197" s="1" t="s">
        <v>45</v>
      </c>
      <c r="W197" s="1" t="s">
        <v>45</v>
      </c>
      <c r="X197" s="1" t="s">
        <v>45</v>
      </c>
      <c r="Y197" s="1" t="s">
        <v>45</v>
      </c>
      <c r="Z197" s="1">
        <v>0</v>
      </c>
      <c r="AA197" s="1" t="s">
        <v>45</v>
      </c>
      <c r="AB197" s="1" t="s">
        <v>45</v>
      </c>
      <c r="AC197" s="1" t="s">
        <v>45</v>
      </c>
      <c r="AD197" s="1" t="s">
        <v>45</v>
      </c>
      <c r="AE197" s="1" t="s">
        <v>45</v>
      </c>
      <c r="AF197" s="1" t="s">
        <v>51</v>
      </c>
      <c r="AG197" s="1" t="s">
        <v>45</v>
      </c>
      <c r="AH197" s="1" t="s">
        <v>45</v>
      </c>
      <c r="AI197" s="1" t="s">
        <v>45</v>
      </c>
      <c r="AJ197" s="1" t="s">
        <v>45</v>
      </c>
      <c r="AK197" s="1" t="s">
        <v>45</v>
      </c>
      <c r="AL197" s="1" t="s">
        <v>49</v>
      </c>
      <c r="AM197" s="1" t="s">
        <v>49</v>
      </c>
      <c r="AN197" s="1">
        <v>0</v>
      </c>
      <c r="AO197" s="1">
        <v>0</v>
      </c>
      <c r="AP197" s="1">
        <v>0</v>
      </c>
    </row>
    <row r="198" spans="1:42" x14ac:dyDescent="0.25">
      <c r="A198" s="1" t="s">
        <v>1033</v>
      </c>
      <c r="B198" s="1" t="s">
        <v>1034</v>
      </c>
      <c r="C198" s="1" t="s">
        <v>1178</v>
      </c>
      <c r="D198" s="1" t="str">
        <f>+C198</f>
        <v>SUPERINTENDENCIA DE COMPAÑIAS</v>
      </c>
      <c r="F198" s="1" t="s">
        <v>41</v>
      </c>
      <c r="G198" s="1" t="s">
        <v>42</v>
      </c>
      <c r="H198" s="1" t="s">
        <v>42</v>
      </c>
      <c r="I198" s="1" t="s">
        <v>43</v>
      </c>
      <c r="J198" s="1" t="s">
        <v>44</v>
      </c>
      <c r="K198" s="1" t="s">
        <v>45</v>
      </c>
      <c r="L198" s="1" t="s">
        <v>57</v>
      </c>
      <c r="M198" s="1" t="s">
        <v>57</v>
      </c>
      <c r="N198" s="1">
        <v>161</v>
      </c>
      <c r="O198" s="1" t="s">
        <v>45</v>
      </c>
      <c r="P198" s="1" t="s">
        <v>45</v>
      </c>
      <c r="Q198" s="1" t="s">
        <v>45</v>
      </c>
      <c r="R198" s="1" t="s">
        <v>49</v>
      </c>
      <c r="S198" s="1" t="s">
        <v>50</v>
      </c>
      <c r="T198" s="1" t="s">
        <v>50</v>
      </c>
      <c r="U198" s="1" t="s">
        <v>45</v>
      </c>
      <c r="V198" s="1" t="s">
        <v>45</v>
      </c>
      <c r="W198" s="1" t="s">
        <v>45</v>
      </c>
      <c r="X198" s="1" t="s">
        <v>45</v>
      </c>
      <c r="Y198" s="1" t="s">
        <v>45</v>
      </c>
      <c r="Z198" s="1">
        <v>0</v>
      </c>
      <c r="AA198" s="1" t="s">
        <v>45</v>
      </c>
      <c r="AB198" s="1" t="s">
        <v>45</v>
      </c>
      <c r="AC198" s="1" t="s">
        <v>45</v>
      </c>
      <c r="AD198" s="1" t="s">
        <v>45</v>
      </c>
      <c r="AE198" s="1" t="s">
        <v>45</v>
      </c>
      <c r="AF198" s="1" t="s">
        <v>51</v>
      </c>
      <c r="AG198" s="1" t="s">
        <v>45</v>
      </c>
      <c r="AH198" s="1" t="s">
        <v>45</v>
      </c>
      <c r="AI198" s="1" t="s">
        <v>45</v>
      </c>
      <c r="AJ198" s="1" t="s">
        <v>45</v>
      </c>
      <c r="AK198" s="1" t="s">
        <v>45</v>
      </c>
      <c r="AL198" s="1" t="s">
        <v>49</v>
      </c>
      <c r="AM198" s="1" t="s">
        <v>49</v>
      </c>
      <c r="AN198" s="1">
        <v>0</v>
      </c>
      <c r="AO198" s="1">
        <v>0</v>
      </c>
      <c r="AP198" s="1">
        <v>0</v>
      </c>
    </row>
    <row r="199" spans="1:42" x14ac:dyDescent="0.25">
      <c r="A199" s="1" t="s">
        <v>1035</v>
      </c>
      <c r="B199" s="1" t="s">
        <v>1036</v>
      </c>
      <c r="C199" s="1" t="s">
        <v>1037</v>
      </c>
      <c r="D199" s="1" t="str">
        <f t="shared" si="28"/>
        <v>TEJEDOR ERRAEZ</v>
      </c>
      <c r="E199" s="1" t="str">
        <f>RIGHT(C199, LEN(C199) - FIND(" ", C199, FIND(" ", C199, FIND(" ", C199) + 0) + 1))</f>
        <v>FLORENCIO RENATO</v>
      </c>
      <c r="F199" s="1" t="s">
        <v>41</v>
      </c>
      <c r="G199" s="1" t="s">
        <v>42</v>
      </c>
      <c r="H199" s="1" t="s">
        <v>42</v>
      </c>
      <c r="I199" s="1" t="s">
        <v>43</v>
      </c>
      <c r="J199" s="1" t="s">
        <v>44</v>
      </c>
      <c r="K199" s="1" t="s">
        <v>1038</v>
      </c>
      <c r="L199" s="1" t="s">
        <v>1039</v>
      </c>
      <c r="M199" s="1" t="s">
        <v>97</v>
      </c>
      <c r="N199" s="1">
        <v>217</v>
      </c>
      <c r="O199" s="1" t="s">
        <v>45</v>
      </c>
      <c r="P199" s="1" t="s">
        <v>45</v>
      </c>
      <c r="Q199" s="1" t="s">
        <v>45</v>
      </c>
      <c r="R199" s="1" t="s">
        <v>49</v>
      </c>
      <c r="S199" s="1" t="s">
        <v>50</v>
      </c>
      <c r="T199" s="1" t="s">
        <v>50</v>
      </c>
      <c r="U199" s="1" t="s">
        <v>45</v>
      </c>
      <c r="V199" s="1" t="s">
        <v>45</v>
      </c>
      <c r="W199" s="1" t="s">
        <v>45</v>
      </c>
      <c r="X199" s="1" t="s">
        <v>45</v>
      </c>
      <c r="Y199" s="1" t="s">
        <v>45</v>
      </c>
      <c r="Z199" s="1">
        <v>0</v>
      </c>
      <c r="AA199" s="1" t="s">
        <v>45</v>
      </c>
      <c r="AB199" s="1" t="s">
        <v>45</v>
      </c>
      <c r="AC199" s="1" t="s">
        <v>45</v>
      </c>
      <c r="AD199" s="1" t="s">
        <v>45</v>
      </c>
      <c r="AE199" s="1" t="s">
        <v>45</v>
      </c>
      <c r="AF199" s="1" t="s">
        <v>51</v>
      </c>
      <c r="AG199" s="1" t="s">
        <v>45</v>
      </c>
      <c r="AH199" s="1" t="s">
        <v>45</v>
      </c>
      <c r="AI199" s="1" t="s">
        <v>45</v>
      </c>
      <c r="AJ199" s="1" t="s">
        <v>45</v>
      </c>
      <c r="AK199" s="1" t="s">
        <v>45</v>
      </c>
      <c r="AL199" s="1" t="s">
        <v>49</v>
      </c>
      <c r="AM199" s="1" t="s">
        <v>49</v>
      </c>
      <c r="AN199" s="1">
        <v>0</v>
      </c>
      <c r="AO199" s="1">
        <v>0</v>
      </c>
      <c r="AP199" s="1">
        <v>0</v>
      </c>
    </row>
    <row r="200" spans="1:42" x14ac:dyDescent="0.25">
      <c r="A200" s="1" t="s">
        <v>1040</v>
      </c>
      <c r="B200" s="1" t="s">
        <v>1041</v>
      </c>
      <c r="C200" s="1" t="s">
        <v>1042</v>
      </c>
      <c r="D200" s="1" t="str">
        <f>+C200</f>
        <v>TELEVISION Y VENTAS  TELEVENT S.A.</v>
      </c>
      <c r="F200" s="1" t="s">
        <v>41</v>
      </c>
      <c r="G200" s="1" t="s">
        <v>42</v>
      </c>
      <c r="H200" s="1" t="s">
        <v>42</v>
      </c>
      <c r="I200" s="1" t="s">
        <v>43</v>
      </c>
      <c r="J200" s="1" t="s">
        <v>44</v>
      </c>
      <c r="K200" s="1" t="s">
        <v>45</v>
      </c>
      <c r="L200" s="1" t="s">
        <v>1043</v>
      </c>
      <c r="M200" s="1" t="s">
        <v>97</v>
      </c>
      <c r="N200" s="1">
        <v>217</v>
      </c>
      <c r="O200" s="1" t="s">
        <v>45</v>
      </c>
      <c r="P200" s="1" t="s">
        <v>45</v>
      </c>
      <c r="Q200" s="1" t="s">
        <v>1044</v>
      </c>
      <c r="R200" s="1" t="s">
        <v>49</v>
      </c>
      <c r="S200" s="1" t="s">
        <v>50</v>
      </c>
      <c r="T200" s="1" t="s">
        <v>50</v>
      </c>
      <c r="U200" s="1" t="s">
        <v>45</v>
      </c>
      <c r="V200" s="1" t="s">
        <v>45</v>
      </c>
      <c r="W200" s="1" t="s">
        <v>45</v>
      </c>
      <c r="X200" s="1" t="s">
        <v>45</v>
      </c>
      <c r="Y200" s="1" t="s">
        <v>45</v>
      </c>
      <c r="Z200" s="1">
        <v>0</v>
      </c>
      <c r="AA200" s="1" t="s">
        <v>45</v>
      </c>
      <c r="AB200" s="1" t="s">
        <v>45</v>
      </c>
      <c r="AC200" s="1" t="s">
        <v>45</v>
      </c>
      <c r="AD200" s="1" t="s">
        <v>45</v>
      </c>
      <c r="AE200" s="1" t="s">
        <v>45</v>
      </c>
      <c r="AF200" s="1" t="s">
        <v>51</v>
      </c>
      <c r="AG200" s="1" t="s">
        <v>45</v>
      </c>
      <c r="AH200" s="1" t="s">
        <v>45</v>
      </c>
      <c r="AI200" s="1" t="s">
        <v>45</v>
      </c>
      <c r="AJ200" s="1" t="s">
        <v>45</v>
      </c>
      <c r="AK200" s="1" t="s">
        <v>45</v>
      </c>
      <c r="AL200" s="1" t="s">
        <v>49</v>
      </c>
      <c r="AM200" s="1" t="s">
        <v>49</v>
      </c>
      <c r="AN200" s="1">
        <v>0</v>
      </c>
      <c r="AO200" s="1">
        <v>0</v>
      </c>
      <c r="AP200" s="1">
        <v>0</v>
      </c>
    </row>
    <row r="201" spans="1:42" x14ac:dyDescent="0.25">
      <c r="A201" s="1" t="s">
        <v>1045</v>
      </c>
      <c r="B201" s="1" t="s">
        <v>1046</v>
      </c>
      <c r="C201" s="1" t="s">
        <v>1047</v>
      </c>
      <c r="D201" s="1" t="str">
        <f>+C201</f>
        <v>TIENDAS TUTI TTDE S.A.</v>
      </c>
      <c r="F201" s="1" t="s">
        <v>41</v>
      </c>
      <c r="G201" s="1" t="s">
        <v>42</v>
      </c>
      <c r="H201" s="1" t="s">
        <v>42</v>
      </c>
      <c r="I201" s="1" t="s">
        <v>43</v>
      </c>
      <c r="J201" s="1" t="s">
        <v>44</v>
      </c>
      <c r="K201" s="1" t="s">
        <v>45</v>
      </c>
      <c r="L201" s="1" t="s">
        <v>1048</v>
      </c>
      <c r="M201" s="1" t="s">
        <v>69</v>
      </c>
      <c r="N201" s="1">
        <v>58</v>
      </c>
      <c r="O201" s="1" t="s">
        <v>45</v>
      </c>
      <c r="P201" s="1" t="s">
        <v>45</v>
      </c>
      <c r="Q201" s="1" t="s">
        <v>45</v>
      </c>
      <c r="R201" s="1" t="s">
        <v>49</v>
      </c>
      <c r="S201" s="1" t="s">
        <v>50</v>
      </c>
      <c r="T201" s="1" t="s">
        <v>50</v>
      </c>
      <c r="U201" s="1" t="s">
        <v>45</v>
      </c>
      <c r="V201" s="1" t="s">
        <v>45</v>
      </c>
      <c r="W201" s="1" t="s">
        <v>45</v>
      </c>
      <c r="X201" s="1" t="s">
        <v>45</v>
      </c>
      <c r="Y201" s="1" t="s">
        <v>45</v>
      </c>
      <c r="Z201" s="1">
        <v>0</v>
      </c>
      <c r="AA201" s="1" t="s">
        <v>45</v>
      </c>
      <c r="AB201" s="1" t="s">
        <v>45</v>
      </c>
      <c r="AC201" s="1" t="s">
        <v>45</v>
      </c>
      <c r="AD201" s="1" t="s">
        <v>45</v>
      </c>
      <c r="AE201" s="1" t="s">
        <v>45</v>
      </c>
      <c r="AF201" s="1" t="s">
        <v>51</v>
      </c>
      <c r="AG201" s="1" t="s">
        <v>45</v>
      </c>
      <c r="AH201" s="1" t="s">
        <v>45</v>
      </c>
      <c r="AI201" s="1" t="s">
        <v>45</v>
      </c>
      <c r="AJ201" s="1" t="s">
        <v>45</v>
      </c>
      <c r="AK201" s="1" t="s">
        <v>45</v>
      </c>
      <c r="AL201" s="1" t="s">
        <v>49</v>
      </c>
      <c r="AM201" s="1" t="s">
        <v>49</v>
      </c>
      <c r="AN201" s="1">
        <v>0</v>
      </c>
      <c r="AO201" s="1">
        <v>0</v>
      </c>
      <c r="AP201" s="1">
        <v>0</v>
      </c>
    </row>
    <row r="202" spans="1:42" x14ac:dyDescent="0.25">
      <c r="A202" s="1" t="s">
        <v>1049</v>
      </c>
      <c r="B202" s="1" t="s">
        <v>1050</v>
      </c>
      <c r="C202" s="1" t="s">
        <v>1051</v>
      </c>
      <c r="D202" s="1" t="str">
        <f t="shared" si="28"/>
        <v>TIGRE CALDERON</v>
      </c>
      <c r="E202" s="1" t="str">
        <f t="shared" ref="E202:E204" si="30">RIGHT(C202, LEN(C202) - FIND(" ", C202, FIND(" ", C202, FIND(" ", C202) + 0) + 1))</f>
        <v>DIEGO MARCELO</v>
      </c>
      <c r="F202" s="1" t="s">
        <v>41</v>
      </c>
      <c r="G202" s="1" t="s">
        <v>42</v>
      </c>
      <c r="H202" s="1" t="s">
        <v>42</v>
      </c>
      <c r="I202" s="1" t="s">
        <v>43</v>
      </c>
      <c r="J202" s="1" t="s">
        <v>44</v>
      </c>
      <c r="K202" s="1" t="s">
        <v>1052</v>
      </c>
      <c r="L202" s="1" t="s">
        <v>1053</v>
      </c>
      <c r="M202" s="1" t="s">
        <v>69</v>
      </c>
      <c r="N202" s="1">
        <v>58</v>
      </c>
      <c r="O202" s="1" t="s">
        <v>45</v>
      </c>
      <c r="P202" s="1" t="s">
        <v>45</v>
      </c>
      <c r="Q202" s="1" t="s">
        <v>1054</v>
      </c>
      <c r="R202" s="1" t="s">
        <v>49</v>
      </c>
      <c r="S202" s="1" t="s">
        <v>50</v>
      </c>
      <c r="T202" s="1" t="s">
        <v>50</v>
      </c>
      <c r="U202" s="1" t="s">
        <v>45</v>
      </c>
      <c r="V202" s="1" t="s">
        <v>45</v>
      </c>
      <c r="W202" s="1" t="s">
        <v>45</v>
      </c>
      <c r="X202" s="1" t="s">
        <v>45</v>
      </c>
      <c r="Y202" s="1" t="s">
        <v>45</v>
      </c>
      <c r="Z202" s="1">
        <v>0</v>
      </c>
      <c r="AA202" s="1" t="s">
        <v>45</v>
      </c>
      <c r="AB202" s="1" t="s">
        <v>45</v>
      </c>
      <c r="AC202" s="1" t="s">
        <v>45</v>
      </c>
      <c r="AD202" s="1" t="s">
        <v>45</v>
      </c>
      <c r="AE202" s="1" t="s">
        <v>45</v>
      </c>
      <c r="AF202" s="1" t="s">
        <v>51</v>
      </c>
      <c r="AG202" s="1" t="s">
        <v>45</v>
      </c>
      <c r="AH202" s="1" t="s">
        <v>45</v>
      </c>
      <c r="AI202" s="1" t="s">
        <v>45</v>
      </c>
      <c r="AJ202" s="1" t="s">
        <v>45</v>
      </c>
      <c r="AK202" s="1" t="s">
        <v>45</v>
      </c>
      <c r="AL202" s="1" t="s">
        <v>49</v>
      </c>
      <c r="AM202" s="1" t="s">
        <v>49</v>
      </c>
      <c r="AN202" s="1">
        <v>0</v>
      </c>
      <c r="AO202" s="1">
        <v>0</v>
      </c>
      <c r="AP202" s="1">
        <v>0</v>
      </c>
    </row>
    <row r="203" spans="1:42" x14ac:dyDescent="0.25">
      <c r="A203" s="1" t="s">
        <v>1055</v>
      </c>
      <c r="B203" s="1" t="s">
        <v>1056</v>
      </c>
      <c r="C203" s="1" t="s">
        <v>1057</v>
      </c>
      <c r="D203" s="1" t="str">
        <f t="shared" si="28"/>
        <v>TORRES GALLARDO</v>
      </c>
      <c r="E203" s="1" t="str">
        <f t="shared" si="30"/>
        <v>GILSON MARCELO</v>
      </c>
      <c r="F203" s="1" t="s">
        <v>41</v>
      </c>
      <c r="G203" s="1" t="s">
        <v>42</v>
      </c>
      <c r="H203" s="1" t="s">
        <v>42</v>
      </c>
      <c r="I203" s="1" t="s">
        <v>43</v>
      </c>
      <c r="J203" s="1" t="s">
        <v>44</v>
      </c>
      <c r="K203" s="1" t="s">
        <v>45</v>
      </c>
      <c r="L203" s="1" t="s">
        <v>1058</v>
      </c>
      <c r="M203" s="1" t="s">
        <v>62</v>
      </c>
      <c r="N203" s="1">
        <v>3</v>
      </c>
      <c r="O203" s="1" t="s">
        <v>45</v>
      </c>
      <c r="P203" s="1" t="s">
        <v>45</v>
      </c>
      <c r="Q203" s="1" t="s">
        <v>1059</v>
      </c>
      <c r="R203" s="1" t="s">
        <v>49</v>
      </c>
      <c r="S203" s="1" t="s">
        <v>50</v>
      </c>
      <c r="T203" s="1" t="s">
        <v>50</v>
      </c>
      <c r="U203" s="1" t="s">
        <v>45</v>
      </c>
      <c r="V203" s="1" t="s">
        <v>45</v>
      </c>
      <c r="W203" s="1" t="s">
        <v>45</v>
      </c>
      <c r="X203" s="1" t="s">
        <v>45</v>
      </c>
      <c r="Y203" s="1" t="s">
        <v>45</v>
      </c>
      <c r="Z203" s="1">
        <v>0</v>
      </c>
      <c r="AA203" s="1" t="s">
        <v>45</v>
      </c>
      <c r="AB203" s="1" t="s">
        <v>45</v>
      </c>
      <c r="AC203" s="1" t="s">
        <v>45</v>
      </c>
      <c r="AD203" s="1" t="s">
        <v>45</v>
      </c>
      <c r="AE203" s="1" t="s">
        <v>45</v>
      </c>
      <c r="AF203" s="1" t="s">
        <v>51</v>
      </c>
      <c r="AG203" s="1" t="s">
        <v>45</v>
      </c>
      <c r="AH203" s="1" t="s">
        <v>45</v>
      </c>
      <c r="AI203" s="1" t="s">
        <v>45</v>
      </c>
      <c r="AJ203" s="1" t="s">
        <v>45</v>
      </c>
      <c r="AK203" s="1" t="s">
        <v>45</v>
      </c>
      <c r="AL203" s="1" t="s">
        <v>49</v>
      </c>
      <c r="AM203" s="1" t="s">
        <v>49</v>
      </c>
      <c r="AN203" s="1">
        <v>0</v>
      </c>
      <c r="AO203" s="1">
        <v>0</v>
      </c>
      <c r="AP203" s="1">
        <v>0</v>
      </c>
    </row>
    <row r="204" spans="1:42" x14ac:dyDescent="0.25">
      <c r="A204" s="1" t="s">
        <v>1060</v>
      </c>
      <c r="B204" s="1" t="s">
        <v>1061</v>
      </c>
      <c r="C204" s="1" t="s">
        <v>1062</v>
      </c>
      <c r="D204" s="1" t="str">
        <f t="shared" si="28"/>
        <v>TORRES JOSE</v>
      </c>
      <c r="E204" s="1" t="str">
        <f t="shared" si="30"/>
        <v>GUSTAVO</v>
      </c>
      <c r="F204" s="1" t="s">
        <v>41</v>
      </c>
      <c r="G204" s="1" t="s">
        <v>42</v>
      </c>
      <c r="H204" s="1" t="s">
        <v>42</v>
      </c>
      <c r="I204" s="1" t="s">
        <v>43</v>
      </c>
      <c r="J204" s="1" t="s">
        <v>44</v>
      </c>
      <c r="K204" s="1" t="s">
        <v>1063</v>
      </c>
      <c r="L204" s="1" t="s">
        <v>1064</v>
      </c>
      <c r="M204" s="1" t="s">
        <v>62</v>
      </c>
      <c r="N204" s="1">
        <v>3</v>
      </c>
      <c r="O204" s="1" t="s">
        <v>45</v>
      </c>
      <c r="P204" s="1" t="s">
        <v>45</v>
      </c>
      <c r="Q204" s="1" t="s">
        <v>1065</v>
      </c>
      <c r="R204" s="1" t="s">
        <v>49</v>
      </c>
      <c r="S204" s="1" t="s">
        <v>50</v>
      </c>
      <c r="T204" s="1" t="s">
        <v>50</v>
      </c>
      <c r="U204" s="1" t="s">
        <v>45</v>
      </c>
      <c r="V204" s="1" t="s">
        <v>45</v>
      </c>
      <c r="W204" s="1" t="s">
        <v>45</v>
      </c>
      <c r="X204" s="1" t="s">
        <v>45</v>
      </c>
      <c r="Y204" s="1" t="s">
        <v>45</v>
      </c>
      <c r="Z204" s="1">
        <v>0</v>
      </c>
      <c r="AA204" s="1" t="s">
        <v>45</v>
      </c>
      <c r="AB204" s="1" t="s">
        <v>45</v>
      </c>
      <c r="AC204" s="1" t="s">
        <v>45</v>
      </c>
      <c r="AD204" s="1" t="s">
        <v>45</v>
      </c>
      <c r="AE204" s="1" t="s">
        <v>45</v>
      </c>
      <c r="AF204" s="1" t="s">
        <v>51</v>
      </c>
      <c r="AG204" s="1" t="s">
        <v>45</v>
      </c>
      <c r="AH204" s="1" t="s">
        <v>45</v>
      </c>
      <c r="AI204" s="1" t="s">
        <v>45</v>
      </c>
      <c r="AJ204" s="1" t="s">
        <v>45</v>
      </c>
      <c r="AK204" s="1" t="s">
        <v>45</v>
      </c>
      <c r="AL204" s="1" t="s">
        <v>49</v>
      </c>
      <c r="AM204" s="1" t="s">
        <v>49</v>
      </c>
      <c r="AN204" s="1">
        <v>0</v>
      </c>
      <c r="AO204" s="1">
        <v>0</v>
      </c>
      <c r="AP204" s="1">
        <v>0</v>
      </c>
    </row>
    <row r="205" spans="1:42" x14ac:dyDescent="0.25">
      <c r="A205" s="1" t="s">
        <v>1066</v>
      </c>
      <c r="B205" s="1" t="s">
        <v>1067</v>
      </c>
      <c r="C205" s="1" t="s">
        <v>1179</v>
      </c>
      <c r="D205" s="1" t="str">
        <f t="shared" ref="D205:D214" si="31">+C205</f>
        <v>TRANSCOSTACAÑARI S.A.</v>
      </c>
      <c r="F205" s="1" t="s">
        <v>41</v>
      </c>
      <c r="G205" s="1" t="s">
        <v>42</v>
      </c>
      <c r="H205" s="1" t="s">
        <v>42</v>
      </c>
      <c r="I205" s="1" t="s">
        <v>43</v>
      </c>
      <c r="J205" s="1" t="s">
        <v>44</v>
      </c>
      <c r="K205" s="1" t="s">
        <v>45</v>
      </c>
      <c r="L205" s="1" t="s">
        <v>1180</v>
      </c>
      <c r="M205" s="1" t="s">
        <v>1068</v>
      </c>
      <c r="N205" s="1">
        <v>215</v>
      </c>
      <c r="O205" s="1" t="s">
        <v>45</v>
      </c>
      <c r="P205" s="1" t="s">
        <v>45</v>
      </c>
      <c r="Q205" s="1" t="s">
        <v>45</v>
      </c>
      <c r="R205" s="1" t="s">
        <v>49</v>
      </c>
      <c r="S205" s="1" t="s">
        <v>50</v>
      </c>
      <c r="T205" s="1" t="s">
        <v>50</v>
      </c>
      <c r="U205" s="1" t="s">
        <v>45</v>
      </c>
      <c r="V205" s="1" t="s">
        <v>45</v>
      </c>
      <c r="W205" s="1" t="s">
        <v>45</v>
      </c>
      <c r="X205" s="1" t="s">
        <v>45</v>
      </c>
      <c r="Y205" s="1" t="s">
        <v>45</v>
      </c>
      <c r="Z205" s="1">
        <v>0</v>
      </c>
      <c r="AA205" s="1" t="s">
        <v>45</v>
      </c>
      <c r="AB205" s="1" t="s">
        <v>45</v>
      </c>
      <c r="AC205" s="1" t="s">
        <v>45</v>
      </c>
      <c r="AD205" s="1" t="s">
        <v>45</v>
      </c>
      <c r="AE205" s="1" t="s">
        <v>45</v>
      </c>
      <c r="AF205" s="1" t="s">
        <v>51</v>
      </c>
      <c r="AG205" s="1" t="s">
        <v>45</v>
      </c>
      <c r="AH205" s="1" t="s">
        <v>45</v>
      </c>
      <c r="AI205" s="1" t="s">
        <v>45</v>
      </c>
      <c r="AJ205" s="1" t="s">
        <v>45</v>
      </c>
      <c r="AK205" s="1" t="s">
        <v>45</v>
      </c>
      <c r="AL205" s="1" t="s">
        <v>49</v>
      </c>
      <c r="AM205" s="1" t="s">
        <v>49</v>
      </c>
      <c r="AN205" s="1">
        <v>0</v>
      </c>
      <c r="AO205" s="1">
        <v>0</v>
      </c>
      <c r="AP205" s="1">
        <v>0</v>
      </c>
    </row>
    <row r="206" spans="1:42" x14ac:dyDescent="0.25">
      <c r="A206" s="1" t="s">
        <v>1069</v>
      </c>
      <c r="B206" s="1" t="s">
        <v>1070</v>
      </c>
      <c r="C206" s="1" t="s">
        <v>1071</v>
      </c>
      <c r="D206" s="1" t="str">
        <f t="shared" si="31"/>
        <v>TRANSPECARBA SA</v>
      </c>
      <c r="F206" s="1" t="s">
        <v>41</v>
      </c>
      <c r="G206" s="1" t="s">
        <v>42</v>
      </c>
      <c r="H206" s="1" t="s">
        <v>42</v>
      </c>
      <c r="I206" s="1" t="s">
        <v>43</v>
      </c>
      <c r="J206" s="1" t="s">
        <v>44</v>
      </c>
      <c r="K206" s="1" t="s">
        <v>45</v>
      </c>
      <c r="L206" s="1" t="s">
        <v>1072</v>
      </c>
      <c r="M206" s="1" t="s">
        <v>62</v>
      </c>
      <c r="N206" s="1">
        <v>3</v>
      </c>
      <c r="O206" s="1" t="s">
        <v>45</v>
      </c>
      <c r="P206" s="1" t="s">
        <v>45</v>
      </c>
      <c r="Q206" s="1" t="s">
        <v>45</v>
      </c>
      <c r="R206" s="1" t="s">
        <v>49</v>
      </c>
      <c r="S206" s="1" t="s">
        <v>50</v>
      </c>
      <c r="T206" s="1" t="s">
        <v>50</v>
      </c>
      <c r="U206" s="1" t="s">
        <v>45</v>
      </c>
      <c r="V206" s="1" t="s">
        <v>45</v>
      </c>
      <c r="W206" s="1" t="s">
        <v>45</v>
      </c>
      <c r="X206" s="1" t="s">
        <v>45</v>
      </c>
      <c r="Y206" s="1" t="s">
        <v>45</v>
      </c>
      <c r="Z206" s="1">
        <v>0</v>
      </c>
      <c r="AA206" s="1" t="s">
        <v>45</v>
      </c>
      <c r="AB206" s="1" t="s">
        <v>45</v>
      </c>
      <c r="AC206" s="1" t="s">
        <v>45</v>
      </c>
      <c r="AD206" s="1" t="s">
        <v>45</v>
      </c>
      <c r="AE206" s="1" t="s">
        <v>45</v>
      </c>
      <c r="AF206" s="1" t="s">
        <v>51</v>
      </c>
      <c r="AG206" s="1" t="s">
        <v>45</v>
      </c>
      <c r="AH206" s="1" t="s">
        <v>45</v>
      </c>
      <c r="AI206" s="1" t="s">
        <v>45</v>
      </c>
      <c r="AJ206" s="1" t="s">
        <v>45</v>
      </c>
      <c r="AK206" s="1" t="s">
        <v>45</v>
      </c>
      <c r="AL206" s="1" t="s">
        <v>49</v>
      </c>
      <c r="AM206" s="1" t="s">
        <v>49</v>
      </c>
      <c r="AN206" s="1">
        <v>0</v>
      </c>
      <c r="AO206" s="1">
        <v>0</v>
      </c>
      <c r="AP206" s="1">
        <v>0</v>
      </c>
    </row>
    <row r="207" spans="1:42" x14ac:dyDescent="0.25">
      <c r="A207" s="1" t="s">
        <v>1073</v>
      </c>
      <c r="B207" s="1" t="s">
        <v>1074</v>
      </c>
      <c r="C207" s="1" t="s">
        <v>1075</v>
      </c>
      <c r="D207" s="1" t="str">
        <f t="shared" si="31"/>
        <v>TRANSPETORRES S.A.</v>
      </c>
      <c r="F207" s="1" t="s">
        <v>41</v>
      </c>
      <c r="G207" s="1" t="s">
        <v>42</v>
      </c>
      <c r="H207" s="1" t="s">
        <v>42</v>
      </c>
      <c r="I207" s="1" t="s">
        <v>43</v>
      </c>
      <c r="J207" s="1" t="s">
        <v>44</v>
      </c>
      <c r="K207" s="1" t="s">
        <v>1076</v>
      </c>
      <c r="L207" s="1" t="s">
        <v>1077</v>
      </c>
      <c r="M207" s="1" t="s">
        <v>69</v>
      </c>
      <c r="N207" s="1">
        <v>58</v>
      </c>
      <c r="O207" s="1" t="s">
        <v>45</v>
      </c>
      <c r="P207" s="1" t="s">
        <v>45</v>
      </c>
      <c r="Q207" s="1" t="s">
        <v>1078</v>
      </c>
      <c r="R207" s="1" t="s">
        <v>49</v>
      </c>
      <c r="S207" s="1" t="s">
        <v>50</v>
      </c>
      <c r="T207" s="1" t="s">
        <v>50</v>
      </c>
      <c r="U207" s="1" t="s">
        <v>45</v>
      </c>
      <c r="V207" s="1" t="s">
        <v>45</v>
      </c>
      <c r="W207" s="1" t="s">
        <v>45</v>
      </c>
      <c r="X207" s="1" t="s">
        <v>45</v>
      </c>
      <c r="Y207" s="1" t="s">
        <v>45</v>
      </c>
      <c r="Z207" s="1">
        <v>0</v>
      </c>
      <c r="AA207" s="1" t="s">
        <v>45</v>
      </c>
      <c r="AB207" s="1" t="s">
        <v>45</v>
      </c>
      <c r="AC207" s="1" t="s">
        <v>45</v>
      </c>
      <c r="AD207" s="1" t="s">
        <v>45</v>
      </c>
      <c r="AE207" s="1" t="s">
        <v>45</v>
      </c>
      <c r="AF207" s="1" t="s">
        <v>51</v>
      </c>
      <c r="AG207" s="1" t="s">
        <v>45</v>
      </c>
      <c r="AH207" s="1" t="s">
        <v>45</v>
      </c>
      <c r="AI207" s="1" t="s">
        <v>45</v>
      </c>
      <c r="AJ207" s="1" t="s">
        <v>45</v>
      </c>
      <c r="AK207" s="1" t="s">
        <v>45</v>
      </c>
      <c r="AL207" s="1" t="s">
        <v>49</v>
      </c>
      <c r="AM207" s="1" t="s">
        <v>49</v>
      </c>
      <c r="AN207" s="1">
        <v>0</v>
      </c>
      <c r="AO207" s="1">
        <v>0</v>
      </c>
      <c r="AP207" s="1">
        <v>0</v>
      </c>
    </row>
    <row r="208" spans="1:42" x14ac:dyDescent="0.25">
      <c r="A208" s="1" t="s">
        <v>1079</v>
      </c>
      <c r="B208" s="1" t="s">
        <v>1080</v>
      </c>
      <c r="C208" s="1" t="s">
        <v>1081</v>
      </c>
      <c r="D208" s="1" t="str">
        <f t="shared" si="31"/>
        <v>TRANSPORFARAHNIEM S.A.</v>
      </c>
      <c r="F208" s="1" t="s">
        <v>41</v>
      </c>
      <c r="G208" s="1" t="s">
        <v>42</v>
      </c>
      <c r="H208" s="1" t="s">
        <v>42</v>
      </c>
      <c r="I208" s="1" t="s">
        <v>43</v>
      </c>
      <c r="J208" s="1" t="s">
        <v>44</v>
      </c>
      <c r="K208" s="1" t="s">
        <v>45</v>
      </c>
      <c r="L208" s="1" t="s">
        <v>1082</v>
      </c>
      <c r="M208" s="1" t="s">
        <v>62</v>
      </c>
      <c r="N208" s="1">
        <v>3</v>
      </c>
      <c r="O208" s="1" t="s">
        <v>45</v>
      </c>
      <c r="P208" s="1" t="s">
        <v>45</v>
      </c>
      <c r="Q208" s="1" t="s">
        <v>45</v>
      </c>
      <c r="R208" s="1" t="s">
        <v>49</v>
      </c>
      <c r="S208" s="1" t="s">
        <v>50</v>
      </c>
      <c r="T208" s="1" t="s">
        <v>50</v>
      </c>
      <c r="U208" s="1" t="s">
        <v>45</v>
      </c>
      <c r="V208" s="1" t="s">
        <v>45</v>
      </c>
      <c r="W208" s="1" t="s">
        <v>45</v>
      </c>
      <c r="X208" s="1" t="s">
        <v>45</v>
      </c>
      <c r="Y208" s="1" t="s">
        <v>45</v>
      </c>
      <c r="Z208" s="1">
        <v>0</v>
      </c>
      <c r="AA208" s="1" t="s">
        <v>45</v>
      </c>
      <c r="AB208" s="1" t="s">
        <v>45</v>
      </c>
      <c r="AC208" s="1" t="s">
        <v>45</v>
      </c>
      <c r="AD208" s="1" t="s">
        <v>45</v>
      </c>
      <c r="AE208" s="1" t="s">
        <v>45</v>
      </c>
      <c r="AF208" s="1" t="s">
        <v>51</v>
      </c>
      <c r="AG208" s="1" t="s">
        <v>45</v>
      </c>
      <c r="AH208" s="1" t="s">
        <v>45</v>
      </c>
      <c r="AI208" s="1" t="s">
        <v>45</v>
      </c>
      <c r="AJ208" s="1" t="s">
        <v>45</v>
      </c>
      <c r="AK208" s="1" t="s">
        <v>45</v>
      </c>
      <c r="AL208" s="1" t="s">
        <v>49</v>
      </c>
      <c r="AM208" s="1" t="s">
        <v>49</v>
      </c>
      <c r="AN208" s="1">
        <v>0</v>
      </c>
      <c r="AO208" s="1">
        <v>0</v>
      </c>
      <c r="AP208" s="1">
        <v>0</v>
      </c>
    </row>
    <row r="209" spans="1:42" x14ac:dyDescent="0.25">
      <c r="A209" s="1" t="s">
        <v>1083</v>
      </c>
      <c r="B209" s="1" t="s">
        <v>1084</v>
      </c>
      <c r="C209" s="1" t="s">
        <v>1085</v>
      </c>
      <c r="D209" s="1" t="str">
        <f t="shared" si="31"/>
        <v>TRANSPORTE DE CARGA LIVIANA TRANSAYACUCHO SOCIEDAD ANONIMA</v>
      </c>
      <c r="F209" s="1" t="s">
        <v>41</v>
      </c>
      <c r="G209" s="1" t="s">
        <v>42</v>
      </c>
      <c r="H209" s="1" t="s">
        <v>55</v>
      </c>
      <c r="I209" s="1" t="s">
        <v>43</v>
      </c>
      <c r="J209" s="1" t="s">
        <v>44</v>
      </c>
      <c r="K209" s="1" t="s">
        <v>45</v>
      </c>
      <c r="L209" s="1" t="s">
        <v>1086</v>
      </c>
      <c r="M209" s="1" t="s">
        <v>62</v>
      </c>
      <c r="N209" s="1">
        <v>3</v>
      </c>
      <c r="O209" s="1" t="s">
        <v>45</v>
      </c>
      <c r="P209" s="1" t="s">
        <v>45</v>
      </c>
      <c r="Q209" s="1" t="s">
        <v>1087</v>
      </c>
      <c r="R209" s="1" t="s">
        <v>49</v>
      </c>
      <c r="S209" s="1" t="s">
        <v>50</v>
      </c>
      <c r="T209" s="1" t="s">
        <v>50</v>
      </c>
      <c r="U209" s="1" t="s">
        <v>45</v>
      </c>
      <c r="V209" s="1" t="s">
        <v>45</v>
      </c>
      <c r="W209" s="1" t="s">
        <v>45</v>
      </c>
      <c r="X209" s="1" t="s">
        <v>45</v>
      </c>
      <c r="Y209" s="1" t="s">
        <v>45</v>
      </c>
      <c r="Z209" s="1">
        <v>0</v>
      </c>
      <c r="AA209" s="1" t="s">
        <v>45</v>
      </c>
      <c r="AB209" s="1" t="s">
        <v>45</v>
      </c>
      <c r="AC209" s="1" t="s">
        <v>45</v>
      </c>
      <c r="AD209" s="1" t="s">
        <v>45</v>
      </c>
      <c r="AE209" s="1" t="s">
        <v>45</v>
      </c>
      <c r="AF209" s="1" t="s">
        <v>51</v>
      </c>
      <c r="AG209" s="1" t="s">
        <v>45</v>
      </c>
      <c r="AH209" s="1" t="s">
        <v>45</v>
      </c>
      <c r="AI209" s="1" t="s">
        <v>45</v>
      </c>
      <c r="AJ209" s="1" t="s">
        <v>45</v>
      </c>
      <c r="AK209" s="1" t="s">
        <v>45</v>
      </c>
      <c r="AL209" s="1" t="s">
        <v>49</v>
      </c>
      <c r="AM209" s="1" t="s">
        <v>49</v>
      </c>
      <c r="AN209" s="1">
        <v>0</v>
      </c>
      <c r="AO209" s="1">
        <v>0</v>
      </c>
      <c r="AP209" s="1">
        <v>0</v>
      </c>
    </row>
    <row r="210" spans="1:42" x14ac:dyDescent="0.25">
      <c r="A210" s="1" t="s">
        <v>1088</v>
      </c>
      <c r="B210" s="1" t="s">
        <v>1089</v>
      </c>
      <c r="C210" s="1" t="s">
        <v>1090</v>
      </c>
      <c r="D210" s="1" t="str">
        <f t="shared" si="31"/>
        <v>TRANSPORTE DE CARGA PESADA VICENTE ROCAFUERTE TRANSPEVIRO S.</v>
      </c>
      <c r="F210" s="1" t="s">
        <v>41</v>
      </c>
      <c r="G210" s="1" t="s">
        <v>42</v>
      </c>
      <c r="H210" s="1" t="s">
        <v>42</v>
      </c>
      <c r="I210" s="1" t="s">
        <v>43</v>
      </c>
      <c r="J210" s="1" t="s">
        <v>44</v>
      </c>
      <c r="K210" s="1" t="s">
        <v>45</v>
      </c>
      <c r="L210" s="1" t="s">
        <v>1091</v>
      </c>
      <c r="M210" s="1" t="s">
        <v>1092</v>
      </c>
      <c r="N210" s="1">
        <v>117</v>
      </c>
      <c r="O210" s="1" t="s">
        <v>1093</v>
      </c>
      <c r="P210" s="1" t="s">
        <v>45</v>
      </c>
      <c r="Q210" s="1" t="s">
        <v>1094</v>
      </c>
      <c r="R210" s="1" t="s">
        <v>49</v>
      </c>
      <c r="S210" s="1" t="s">
        <v>50</v>
      </c>
      <c r="T210" s="1" t="s">
        <v>50</v>
      </c>
      <c r="U210" s="1" t="s">
        <v>45</v>
      </c>
      <c r="V210" s="1" t="s">
        <v>45</v>
      </c>
      <c r="W210" s="1" t="s">
        <v>45</v>
      </c>
      <c r="X210" s="1" t="s">
        <v>45</v>
      </c>
      <c r="Y210" s="1" t="s">
        <v>45</v>
      </c>
      <c r="Z210" s="1">
        <v>0</v>
      </c>
      <c r="AA210" s="1" t="s">
        <v>45</v>
      </c>
      <c r="AB210" s="1" t="s">
        <v>45</v>
      </c>
      <c r="AC210" s="1" t="s">
        <v>45</v>
      </c>
      <c r="AD210" s="1" t="s">
        <v>45</v>
      </c>
      <c r="AE210" s="1" t="s">
        <v>45</v>
      </c>
      <c r="AF210" s="1" t="s">
        <v>51</v>
      </c>
      <c r="AG210" s="1" t="s">
        <v>45</v>
      </c>
      <c r="AH210" s="1" t="s">
        <v>45</v>
      </c>
      <c r="AI210" s="1" t="s">
        <v>45</v>
      </c>
      <c r="AJ210" s="1" t="s">
        <v>45</v>
      </c>
      <c r="AK210" s="1" t="s">
        <v>45</v>
      </c>
      <c r="AL210" s="1" t="s">
        <v>49</v>
      </c>
      <c r="AM210" s="1" t="s">
        <v>49</v>
      </c>
      <c r="AN210" s="1">
        <v>0</v>
      </c>
      <c r="AO210" s="1">
        <v>0</v>
      </c>
      <c r="AP210" s="1">
        <v>0</v>
      </c>
    </row>
    <row r="211" spans="1:42" x14ac:dyDescent="0.25">
      <c r="A211" s="1" t="s">
        <v>1095</v>
      </c>
      <c r="B211" s="1" t="s">
        <v>1096</v>
      </c>
      <c r="C211" s="1" t="s">
        <v>1097</v>
      </c>
      <c r="D211" s="1" t="str">
        <f t="shared" si="31"/>
        <v>TRANSPORTE PESADO VICAS TRUCKS S.A.</v>
      </c>
      <c r="F211" s="1" t="s">
        <v>41</v>
      </c>
      <c r="G211" s="1" t="s">
        <v>42</v>
      </c>
      <c r="H211" s="1" t="s">
        <v>42</v>
      </c>
      <c r="I211" s="1" t="s">
        <v>43</v>
      </c>
      <c r="J211" s="1" t="s">
        <v>44</v>
      </c>
      <c r="K211" s="1" t="s">
        <v>1098</v>
      </c>
      <c r="L211" s="1" t="s">
        <v>1099</v>
      </c>
      <c r="M211" s="1" t="s">
        <v>1011</v>
      </c>
      <c r="N211" s="1">
        <v>98</v>
      </c>
      <c r="O211" s="1" t="s">
        <v>45</v>
      </c>
      <c r="P211" s="1" t="s">
        <v>45</v>
      </c>
      <c r="Q211" s="1" t="s">
        <v>1100</v>
      </c>
      <c r="R211" s="1" t="s">
        <v>49</v>
      </c>
      <c r="S211" s="1" t="s">
        <v>50</v>
      </c>
      <c r="T211" s="1" t="s">
        <v>50</v>
      </c>
      <c r="U211" s="1" t="s">
        <v>45</v>
      </c>
      <c r="V211" s="1" t="s">
        <v>45</v>
      </c>
      <c r="W211" s="1" t="s">
        <v>45</v>
      </c>
      <c r="X211" s="1" t="s">
        <v>45</v>
      </c>
      <c r="Y211" s="1" t="s">
        <v>45</v>
      </c>
      <c r="Z211" s="1">
        <v>0</v>
      </c>
      <c r="AA211" s="1" t="s">
        <v>45</v>
      </c>
      <c r="AB211" s="1" t="s">
        <v>45</v>
      </c>
      <c r="AC211" s="1" t="s">
        <v>45</v>
      </c>
      <c r="AD211" s="1" t="s">
        <v>45</v>
      </c>
      <c r="AE211" s="1" t="s">
        <v>45</v>
      </c>
      <c r="AF211" s="1" t="s">
        <v>51</v>
      </c>
      <c r="AG211" s="1" t="s">
        <v>45</v>
      </c>
      <c r="AH211" s="1" t="s">
        <v>45</v>
      </c>
      <c r="AI211" s="1" t="s">
        <v>45</v>
      </c>
      <c r="AJ211" s="1" t="s">
        <v>45</v>
      </c>
      <c r="AK211" s="1" t="s">
        <v>45</v>
      </c>
      <c r="AL211" s="1" t="s">
        <v>49</v>
      </c>
      <c r="AM211" s="1" t="s">
        <v>49</v>
      </c>
      <c r="AN211" s="1">
        <v>0</v>
      </c>
      <c r="AO211" s="1">
        <v>0</v>
      </c>
      <c r="AP211" s="1">
        <v>0</v>
      </c>
    </row>
    <row r="212" spans="1:42" x14ac:dyDescent="0.25">
      <c r="A212" s="1" t="s">
        <v>1101</v>
      </c>
      <c r="B212" s="1" t="s">
        <v>1102</v>
      </c>
      <c r="C212" s="1" t="s">
        <v>1103</v>
      </c>
      <c r="D212" s="1" t="str">
        <f t="shared" si="31"/>
        <v>TRANSPORTE TENEMAZA INTERNACIONAL CA</v>
      </c>
      <c r="F212" s="1" t="s">
        <v>41</v>
      </c>
      <c r="G212" s="1" t="s">
        <v>42</v>
      </c>
      <c r="H212" s="1" t="s">
        <v>42</v>
      </c>
      <c r="I212" s="1" t="s">
        <v>43</v>
      </c>
      <c r="J212" s="1" t="s">
        <v>44</v>
      </c>
      <c r="K212" s="1" t="s">
        <v>45</v>
      </c>
      <c r="L212" s="1" t="s">
        <v>1104</v>
      </c>
      <c r="M212" s="1" t="s">
        <v>97</v>
      </c>
      <c r="N212" s="1">
        <v>217</v>
      </c>
      <c r="O212" s="1" t="s">
        <v>45</v>
      </c>
      <c r="P212" s="1" t="s">
        <v>45</v>
      </c>
      <c r="Q212" s="1" t="s">
        <v>1105</v>
      </c>
      <c r="R212" s="1" t="s">
        <v>49</v>
      </c>
      <c r="S212" s="1" t="s">
        <v>50</v>
      </c>
      <c r="T212" s="1" t="s">
        <v>50</v>
      </c>
      <c r="U212" s="1" t="s">
        <v>45</v>
      </c>
      <c r="V212" s="1" t="s">
        <v>45</v>
      </c>
      <c r="W212" s="1" t="s">
        <v>45</v>
      </c>
      <c r="X212" s="1" t="s">
        <v>45</v>
      </c>
      <c r="Y212" s="1" t="s">
        <v>45</v>
      </c>
      <c r="Z212" s="1">
        <v>0</v>
      </c>
      <c r="AA212" s="1" t="s">
        <v>45</v>
      </c>
      <c r="AB212" s="1" t="s">
        <v>45</v>
      </c>
      <c r="AC212" s="1" t="s">
        <v>45</v>
      </c>
      <c r="AD212" s="1" t="s">
        <v>45</v>
      </c>
      <c r="AE212" s="1" t="s">
        <v>45</v>
      </c>
      <c r="AF212" s="1" t="s">
        <v>51</v>
      </c>
      <c r="AG212" s="1" t="s">
        <v>45</v>
      </c>
      <c r="AH212" s="1" t="s">
        <v>45</v>
      </c>
      <c r="AI212" s="1" t="s">
        <v>45</v>
      </c>
      <c r="AJ212" s="1" t="s">
        <v>45</v>
      </c>
      <c r="AK212" s="1" t="s">
        <v>45</v>
      </c>
      <c r="AL212" s="1" t="s">
        <v>49</v>
      </c>
      <c r="AM212" s="1" t="s">
        <v>49</v>
      </c>
      <c r="AN212" s="1">
        <v>0</v>
      </c>
      <c r="AO212" s="1">
        <v>0</v>
      </c>
      <c r="AP212" s="1">
        <v>0</v>
      </c>
    </row>
    <row r="213" spans="1:42" x14ac:dyDescent="0.25">
      <c r="A213" s="1" t="s">
        <v>1106</v>
      </c>
      <c r="B213" s="1" t="s">
        <v>1107</v>
      </c>
      <c r="C213" s="1" t="s">
        <v>1108</v>
      </c>
      <c r="D213" s="1" t="str">
        <f t="shared" si="31"/>
        <v>TRANSPORTES ASOCIADOS ORENSES TRASOSA  S.A.</v>
      </c>
      <c r="F213" s="1" t="s">
        <v>41</v>
      </c>
      <c r="G213" s="1" t="s">
        <v>42</v>
      </c>
      <c r="H213" s="1" t="s">
        <v>42</v>
      </c>
      <c r="I213" s="1" t="s">
        <v>43</v>
      </c>
      <c r="J213" s="1" t="s">
        <v>44</v>
      </c>
      <c r="K213" s="1" t="s">
        <v>45</v>
      </c>
      <c r="L213" s="1" t="s">
        <v>1109</v>
      </c>
      <c r="M213" s="1" t="s">
        <v>69</v>
      </c>
      <c r="N213" s="1">
        <v>58</v>
      </c>
      <c r="O213" s="1" t="s">
        <v>1110</v>
      </c>
      <c r="P213" s="1" t="s">
        <v>45</v>
      </c>
      <c r="Q213" s="1" t="s">
        <v>1111</v>
      </c>
      <c r="R213" s="1" t="s">
        <v>49</v>
      </c>
      <c r="S213" s="1" t="s">
        <v>50</v>
      </c>
      <c r="T213" s="1" t="s">
        <v>50</v>
      </c>
      <c r="U213" s="1" t="s">
        <v>45</v>
      </c>
      <c r="V213" s="1" t="s">
        <v>45</v>
      </c>
      <c r="W213" s="1" t="s">
        <v>45</v>
      </c>
      <c r="X213" s="1" t="s">
        <v>45</v>
      </c>
      <c r="Y213" s="1" t="s">
        <v>45</v>
      </c>
      <c r="Z213" s="1">
        <v>0</v>
      </c>
      <c r="AA213" s="1" t="s">
        <v>45</v>
      </c>
      <c r="AB213" s="1" t="s">
        <v>45</v>
      </c>
      <c r="AC213" s="1" t="s">
        <v>45</v>
      </c>
      <c r="AD213" s="1" t="s">
        <v>45</v>
      </c>
      <c r="AE213" s="1" t="s">
        <v>45</v>
      </c>
      <c r="AF213" s="1" t="s">
        <v>51</v>
      </c>
      <c r="AG213" s="1" t="s">
        <v>45</v>
      </c>
      <c r="AH213" s="1" t="s">
        <v>45</v>
      </c>
      <c r="AI213" s="1" t="s">
        <v>45</v>
      </c>
      <c r="AJ213" s="1" t="s">
        <v>45</v>
      </c>
      <c r="AK213" s="1" t="s">
        <v>45</v>
      </c>
      <c r="AL213" s="1" t="s">
        <v>49</v>
      </c>
      <c r="AM213" s="1" t="s">
        <v>49</v>
      </c>
      <c r="AN213" s="1">
        <v>0</v>
      </c>
      <c r="AO213" s="1">
        <v>0</v>
      </c>
      <c r="AP213" s="1">
        <v>0</v>
      </c>
    </row>
    <row r="214" spans="1:42" x14ac:dyDescent="0.25">
      <c r="A214" s="1" t="s">
        <v>1112</v>
      </c>
      <c r="B214" s="1" t="s">
        <v>1113</v>
      </c>
      <c r="C214" s="1" t="s">
        <v>1114</v>
      </c>
      <c r="D214" s="1" t="str">
        <f t="shared" si="31"/>
        <v>TRANSPORTES DE CARGA PESADA TRANS ORVEPAL SA</v>
      </c>
      <c r="F214" s="1" t="s">
        <v>41</v>
      </c>
      <c r="G214" s="1" t="s">
        <v>42</v>
      </c>
      <c r="H214" s="1" t="s">
        <v>42</v>
      </c>
      <c r="I214" s="1" t="s">
        <v>43</v>
      </c>
      <c r="J214" s="1" t="s">
        <v>44</v>
      </c>
      <c r="K214" s="1" t="s">
        <v>45</v>
      </c>
      <c r="L214" s="1" t="s">
        <v>1115</v>
      </c>
      <c r="M214" s="1" t="s">
        <v>47</v>
      </c>
      <c r="N214" s="1">
        <v>134</v>
      </c>
      <c r="O214" s="1" t="s">
        <v>45</v>
      </c>
      <c r="P214" s="1" t="s">
        <v>45</v>
      </c>
      <c r="Q214" s="1" t="s">
        <v>1116</v>
      </c>
      <c r="R214" s="1" t="s">
        <v>49</v>
      </c>
      <c r="S214" s="1" t="s">
        <v>50</v>
      </c>
      <c r="T214" s="1" t="s">
        <v>50</v>
      </c>
      <c r="U214" s="1" t="s">
        <v>45</v>
      </c>
      <c r="V214" s="1" t="s">
        <v>45</v>
      </c>
      <c r="W214" s="1" t="s">
        <v>45</v>
      </c>
      <c r="X214" s="1" t="s">
        <v>45</v>
      </c>
      <c r="Y214" s="1" t="s">
        <v>45</v>
      </c>
      <c r="Z214" s="1">
        <v>0</v>
      </c>
      <c r="AA214" s="1" t="s">
        <v>45</v>
      </c>
      <c r="AB214" s="1" t="s">
        <v>45</v>
      </c>
      <c r="AC214" s="1" t="s">
        <v>45</v>
      </c>
      <c r="AD214" s="1" t="s">
        <v>45</v>
      </c>
      <c r="AE214" s="1" t="s">
        <v>45</v>
      </c>
      <c r="AF214" s="1" t="s">
        <v>51</v>
      </c>
      <c r="AG214" s="1" t="s">
        <v>45</v>
      </c>
      <c r="AH214" s="1" t="s">
        <v>45</v>
      </c>
      <c r="AI214" s="1" t="s">
        <v>45</v>
      </c>
      <c r="AJ214" s="1" t="s">
        <v>45</v>
      </c>
      <c r="AK214" s="1" t="s">
        <v>45</v>
      </c>
      <c r="AL214" s="1" t="s">
        <v>49</v>
      </c>
      <c r="AM214" s="1" t="s">
        <v>49</v>
      </c>
      <c r="AN214" s="1">
        <v>0</v>
      </c>
      <c r="AO214" s="1">
        <v>0</v>
      </c>
      <c r="AP214" s="1">
        <v>0</v>
      </c>
    </row>
    <row r="215" spans="1:42" x14ac:dyDescent="0.25">
      <c r="A215" s="1" t="s">
        <v>1117</v>
      </c>
      <c r="B215" s="1" t="s">
        <v>1118</v>
      </c>
      <c r="C215" s="1" t="s">
        <v>1119</v>
      </c>
      <c r="D215" s="1" t="str">
        <f t="shared" si="28"/>
        <v>USHCA DUCHI</v>
      </c>
      <c r="E215" s="1" t="str">
        <f t="shared" ref="E215:E217" si="32">RIGHT(C215, LEN(C215) - FIND(" ", C215, FIND(" ", C215, FIND(" ", C215) + 0) + 1))</f>
        <v>BLANCA JESSENIA</v>
      </c>
      <c r="F215" s="1" t="s">
        <v>41</v>
      </c>
      <c r="G215" s="1" t="s">
        <v>42</v>
      </c>
      <c r="H215" s="1" t="s">
        <v>42</v>
      </c>
      <c r="I215" s="1" t="s">
        <v>43</v>
      </c>
      <c r="J215" s="1" t="s">
        <v>44</v>
      </c>
      <c r="K215" s="1" t="s">
        <v>45</v>
      </c>
      <c r="L215" s="1" t="s">
        <v>665</v>
      </c>
      <c r="M215" s="1" t="s">
        <v>69</v>
      </c>
      <c r="N215" s="1">
        <v>58</v>
      </c>
      <c r="O215" s="1" t="s">
        <v>45</v>
      </c>
      <c r="P215" s="1" t="s">
        <v>45</v>
      </c>
      <c r="Q215" s="1" t="s">
        <v>1120</v>
      </c>
      <c r="R215" s="1" t="s">
        <v>49</v>
      </c>
      <c r="S215" s="1" t="s">
        <v>50</v>
      </c>
      <c r="T215" s="1" t="s">
        <v>50</v>
      </c>
      <c r="U215" s="1" t="s">
        <v>45</v>
      </c>
      <c r="V215" s="1" t="s">
        <v>45</v>
      </c>
      <c r="W215" s="1" t="s">
        <v>45</v>
      </c>
      <c r="X215" s="1" t="s">
        <v>45</v>
      </c>
      <c r="Y215" s="1" t="s">
        <v>45</v>
      </c>
      <c r="Z215" s="1">
        <v>0</v>
      </c>
      <c r="AA215" s="1" t="s">
        <v>45</v>
      </c>
      <c r="AB215" s="1" t="s">
        <v>45</v>
      </c>
      <c r="AC215" s="1" t="s">
        <v>45</v>
      </c>
      <c r="AD215" s="1" t="s">
        <v>45</v>
      </c>
      <c r="AE215" s="1" t="s">
        <v>45</v>
      </c>
      <c r="AF215" s="1" t="s">
        <v>51</v>
      </c>
      <c r="AG215" s="1" t="s">
        <v>45</v>
      </c>
      <c r="AH215" s="1" t="s">
        <v>45</v>
      </c>
      <c r="AI215" s="1" t="s">
        <v>45</v>
      </c>
      <c r="AJ215" s="1" t="s">
        <v>45</v>
      </c>
      <c r="AK215" s="1" t="s">
        <v>45</v>
      </c>
      <c r="AL215" s="1" t="s">
        <v>49</v>
      </c>
      <c r="AM215" s="1" t="s">
        <v>49</v>
      </c>
      <c r="AN215" s="1">
        <v>0</v>
      </c>
      <c r="AO215" s="1">
        <v>0</v>
      </c>
      <c r="AP215" s="1">
        <v>0</v>
      </c>
    </row>
    <row r="216" spans="1:42" x14ac:dyDescent="0.25">
      <c r="A216" s="1" t="s">
        <v>1121</v>
      </c>
      <c r="B216" s="1" t="s">
        <v>1122</v>
      </c>
      <c r="C216" s="1" t="s">
        <v>1123</v>
      </c>
      <c r="D216" s="1" t="str">
        <f t="shared" si="28"/>
        <v>VALAREZO VERA</v>
      </c>
      <c r="E216" s="1" t="str">
        <f t="shared" si="32"/>
        <v>ALBERTINA LEONOR</v>
      </c>
      <c r="F216" s="1" t="s">
        <v>41</v>
      </c>
      <c r="G216" s="1" t="s">
        <v>42</v>
      </c>
      <c r="H216" s="1" t="s">
        <v>42</v>
      </c>
      <c r="I216" s="1" t="s">
        <v>43</v>
      </c>
      <c r="J216" s="1" t="s">
        <v>44</v>
      </c>
      <c r="K216" s="1" t="s">
        <v>45</v>
      </c>
      <c r="L216" s="1" t="s">
        <v>1124</v>
      </c>
      <c r="M216" s="1" t="s">
        <v>47</v>
      </c>
      <c r="N216" s="1">
        <v>134</v>
      </c>
      <c r="O216" s="1" t="s">
        <v>1125</v>
      </c>
      <c r="P216" s="1" t="s">
        <v>45</v>
      </c>
      <c r="Q216" s="1" t="s">
        <v>1126</v>
      </c>
      <c r="R216" s="1" t="s">
        <v>49</v>
      </c>
      <c r="S216" s="1" t="s">
        <v>50</v>
      </c>
      <c r="T216" s="1" t="s">
        <v>50</v>
      </c>
      <c r="U216" s="1" t="s">
        <v>45</v>
      </c>
      <c r="V216" s="1" t="s">
        <v>45</v>
      </c>
      <c r="W216" s="1" t="s">
        <v>45</v>
      </c>
      <c r="X216" s="1" t="s">
        <v>45</v>
      </c>
      <c r="Y216" s="1" t="s">
        <v>45</v>
      </c>
      <c r="Z216" s="1">
        <v>0</v>
      </c>
      <c r="AA216" s="1" t="s">
        <v>45</v>
      </c>
      <c r="AB216" s="1" t="s">
        <v>45</v>
      </c>
      <c r="AC216" s="1" t="s">
        <v>45</v>
      </c>
      <c r="AD216" s="1" t="s">
        <v>45</v>
      </c>
      <c r="AE216" s="1" t="s">
        <v>45</v>
      </c>
      <c r="AF216" s="1" t="s">
        <v>51</v>
      </c>
      <c r="AG216" s="1" t="s">
        <v>45</v>
      </c>
      <c r="AH216" s="1" t="s">
        <v>45</v>
      </c>
      <c r="AI216" s="1" t="s">
        <v>45</v>
      </c>
      <c r="AJ216" s="1" t="s">
        <v>45</v>
      </c>
      <c r="AK216" s="1" t="s">
        <v>45</v>
      </c>
      <c r="AL216" s="1" t="s">
        <v>49</v>
      </c>
      <c r="AM216" s="1" t="s">
        <v>49</v>
      </c>
      <c r="AN216" s="1">
        <v>0</v>
      </c>
      <c r="AO216" s="1">
        <v>0</v>
      </c>
      <c r="AP216" s="1">
        <v>0</v>
      </c>
    </row>
    <row r="217" spans="1:42" x14ac:dyDescent="0.25">
      <c r="A217" s="1" t="s">
        <v>1127</v>
      </c>
      <c r="B217" s="1" t="s">
        <v>1128</v>
      </c>
      <c r="C217" s="1" t="s">
        <v>1181</v>
      </c>
      <c r="D217" s="1" t="str">
        <f t="shared" si="28"/>
        <v>VALVERDE PAZMIÑO</v>
      </c>
      <c r="E217" s="1" t="str">
        <f t="shared" si="32"/>
        <v>CARMEN ELIZABETH</v>
      </c>
      <c r="F217" s="1" t="s">
        <v>41</v>
      </c>
      <c r="G217" s="1" t="s">
        <v>42</v>
      </c>
      <c r="H217" s="1" t="s">
        <v>42</v>
      </c>
      <c r="I217" s="1" t="s">
        <v>43</v>
      </c>
      <c r="J217" s="1" t="s">
        <v>44</v>
      </c>
      <c r="K217" s="1" t="s">
        <v>45</v>
      </c>
      <c r="L217" s="1" t="s">
        <v>1129</v>
      </c>
      <c r="M217" s="1" t="s">
        <v>62</v>
      </c>
      <c r="N217" s="1">
        <v>3</v>
      </c>
      <c r="O217" s="1" t="s">
        <v>1130</v>
      </c>
      <c r="P217" s="1" t="s">
        <v>45</v>
      </c>
      <c r="Q217" s="1" t="s">
        <v>278</v>
      </c>
      <c r="R217" s="1" t="s">
        <v>49</v>
      </c>
      <c r="S217" s="1" t="s">
        <v>50</v>
      </c>
      <c r="T217" s="1" t="s">
        <v>50</v>
      </c>
      <c r="U217" s="1" t="s">
        <v>45</v>
      </c>
      <c r="V217" s="1" t="s">
        <v>45</v>
      </c>
      <c r="W217" s="1" t="s">
        <v>45</v>
      </c>
      <c r="X217" s="1" t="s">
        <v>45</v>
      </c>
      <c r="Y217" s="1" t="s">
        <v>45</v>
      </c>
      <c r="Z217" s="1">
        <v>0</v>
      </c>
      <c r="AA217" s="1" t="s">
        <v>45</v>
      </c>
      <c r="AB217" s="1" t="s">
        <v>45</v>
      </c>
      <c r="AC217" s="1" t="s">
        <v>45</v>
      </c>
      <c r="AD217" s="1" t="s">
        <v>45</v>
      </c>
      <c r="AE217" s="1" t="s">
        <v>45</v>
      </c>
      <c r="AF217" s="1" t="s">
        <v>51</v>
      </c>
      <c r="AG217" s="1" t="s">
        <v>45</v>
      </c>
      <c r="AH217" s="1" t="s">
        <v>45</v>
      </c>
      <c r="AI217" s="1" t="s">
        <v>45</v>
      </c>
      <c r="AJ217" s="1" t="s">
        <v>45</v>
      </c>
      <c r="AK217" s="1" t="s">
        <v>45</v>
      </c>
      <c r="AL217" s="1" t="s">
        <v>49</v>
      </c>
      <c r="AM217" s="1" t="s">
        <v>49</v>
      </c>
      <c r="AN217" s="1">
        <v>0</v>
      </c>
      <c r="AO217" s="1">
        <v>0</v>
      </c>
      <c r="AP217" s="1">
        <v>0</v>
      </c>
    </row>
    <row r="218" spans="1:42" x14ac:dyDescent="0.25">
      <c r="A218" s="1" t="s">
        <v>1131</v>
      </c>
      <c r="B218" s="1" t="s">
        <v>1132</v>
      </c>
      <c r="C218" s="1" t="s">
        <v>1133</v>
      </c>
      <c r="D218" s="1" t="str">
        <f>+C218</f>
        <v>VENPARGLOBAL S.A.</v>
      </c>
      <c r="F218" s="1" t="s">
        <v>41</v>
      </c>
      <c r="G218" s="1" t="s">
        <v>42</v>
      </c>
      <c r="H218" s="1" t="s">
        <v>42</v>
      </c>
      <c r="I218" s="1" t="s">
        <v>43</v>
      </c>
      <c r="J218" s="1" t="s">
        <v>44</v>
      </c>
      <c r="K218" s="1" t="s">
        <v>45</v>
      </c>
      <c r="L218" s="1" t="s">
        <v>1134</v>
      </c>
      <c r="M218" s="1" t="s">
        <v>1011</v>
      </c>
      <c r="N218" s="1">
        <v>98</v>
      </c>
      <c r="O218" s="1" t="s">
        <v>45</v>
      </c>
      <c r="P218" s="1" t="s">
        <v>45</v>
      </c>
      <c r="Q218" s="1" t="s">
        <v>108</v>
      </c>
      <c r="R218" s="1" t="s">
        <v>49</v>
      </c>
      <c r="S218" s="1" t="s">
        <v>50</v>
      </c>
      <c r="T218" s="1" t="s">
        <v>50</v>
      </c>
      <c r="U218" s="1" t="s">
        <v>45</v>
      </c>
      <c r="V218" s="1" t="s">
        <v>45</v>
      </c>
      <c r="W218" s="1" t="s">
        <v>45</v>
      </c>
      <c r="X218" s="1" t="s">
        <v>45</v>
      </c>
      <c r="Y218" s="1" t="s">
        <v>45</v>
      </c>
      <c r="Z218" s="1">
        <v>0</v>
      </c>
      <c r="AA218" s="1" t="s">
        <v>45</v>
      </c>
      <c r="AB218" s="1" t="s">
        <v>45</v>
      </c>
      <c r="AC218" s="1" t="s">
        <v>45</v>
      </c>
      <c r="AD218" s="1" t="s">
        <v>45</v>
      </c>
      <c r="AE218" s="1" t="s">
        <v>45</v>
      </c>
      <c r="AF218" s="1" t="s">
        <v>51</v>
      </c>
      <c r="AG218" s="1" t="s">
        <v>45</v>
      </c>
      <c r="AH218" s="1" t="s">
        <v>45</v>
      </c>
      <c r="AI218" s="1" t="s">
        <v>45</v>
      </c>
      <c r="AJ218" s="1" t="s">
        <v>45</v>
      </c>
      <c r="AK218" s="1" t="s">
        <v>45</v>
      </c>
      <c r="AL218" s="1" t="s">
        <v>49</v>
      </c>
      <c r="AM218" s="1" t="s">
        <v>49</v>
      </c>
      <c r="AN218" s="1">
        <v>0</v>
      </c>
      <c r="AO218" s="1">
        <v>0</v>
      </c>
      <c r="AP218" s="1">
        <v>0</v>
      </c>
    </row>
    <row r="219" spans="1:42" x14ac:dyDescent="0.25">
      <c r="A219" s="1" t="s">
        <v>1135</v>
      </c>
      <c r="B219" s="1" t="s">
        <v>1136</v>
      </c>
      <c r="C219" s="1" t="s">
        <v>1137</v>
      </c>
      <c r="D219" s="1" t="str">
        <f t="shared" si="28"/>
        <v>YAZBEK MARICH</v>
      </c>
      <c r="E219" s="1" t="str">
        <f>RIGHT(C219, LEN(C219) - FIND(" ", C219, FIND(" ", C219, FIND(" ", C219) + 0) + 1))</f>
        <v>LESZEK ANTONIO</v>
      </c>
      <c r="F219" s="1" t="s">
        <v>41</v>
      </c>
      <c r="G219" s="1" t="s">
        <v>42</v>
      </c>
      <c r="H219" s="1" t="s">
        <v>42</v>
      </c>
      <c r="I219" s="1" t="s">
        <v>43</v>
      </c>
      <c r="J219" s="1" t="s">
        <v>44</v>
      </c>
      <c r="K219" s="1" t="s">
        <v>1138</v>
      </c>
      <c r="L219" s="1" t="s">
        <v>1139</v>
      </c>
      <c r="M219" s="1" t="s">
        <v>69</v>
      </c>
      <c r="N219" s="1">
        <v>58</v>
      </c>
      <c r="O219" s="1" t="s">
        <v>45</v>
      </c>
      <c r="P219" s="1" t="s">
        <v>45</v>
      </c>
      <c r="Q219" s="1" t="s">
        <v>1140</v>
      </c>
      <c r="R219" s="1" t="s">
        <v>49</v>
      </c>
      <c r="S219" s="1" t="s">
        <v>50</v>
      </c>
      <c r="T219" s="1" t="s">
        <v>50</v>
      </c>
      <c r="U219" s="1" t="s">
        <v>45</v>
      </c>
      <c r="V219" s="1" t="s">
        <v>45</v>
      </c>
      <c r="W219" s="1" t="s">
        <v>45</v>
      </c>
      <c r="X219" s="1" t="s">
        <v>45</v>
      </c>
      <c r="Y219" s="1" t="s">
        <v>45</v>
      </c>
      <c r="Z219" s="1">
        <v>0</v>
      </c>
      <c r="AA219" s="1" t="s">
        <v>45</v>
      </c>
      <c r="AB219" s="1" t="s">
        <v>45</v>
      </c>
      <c r="AC219" s="1" t="s">
        <v>45</v>
      </c>
      <c r="AD219" s="1" t="s">
        <v>45</v>
      </c>
      <c r="AE219" s="1" t="s">
        <v>45</v>
      </c>
      <c r="AF219" s="1" t="s">
        <v>51</v>
      </c>
      <c r="AG219" s="1" t="s">
        <v>45</v>
      </c>
      <c r="AH219" s="1" t="s">
        <v>45</v>
      </c>
      <c r="AI219" s="1" t="s">
        <v>45</v>
      </c>
      <c r="AJ219" s="1" t="s">
        <v>45</v>
      </c>
      <c r="AK219" s="1" t="s">
        <v>45</v>
      </c>
      <c r="AL219" s="1" t="s">
        <v>49</v>
      </c>
      <c r="AM219" s="1" t="s">
        <v>49</v>
      </c>
      <c r="AN219" s="1">
        <v>0</v>
      </c>
      <c r="AO219" s="1">
        <v>0</v>
      </c>
      <c r="AP219" s="1">
        <v>0</v>
      </c>
    </row>
    <row r="220" spans="1:42" x14ac:dyDescent="0.25">
      <c r="A220" s="1" t="s">
        <v>1141</v>
      </c>
      <c r="B220" s="1" t="s">
        <v>1142</v>
      </c>
      <c r="C220" s="1" t="s">
        <v>1143</v>
      </c>
      <c r="D220" s="1" t="str">
        <f>+C220</f>
        <v>YILPORT TERMINAL OPERATIONS</v>
      </c>
      <c r="F220" s="1" t="s">
        <v>41</v>
      </c>
      <c r="G220" s="1" t="s">
        <v>42</v>
      </c>
      <c r="H220" s="1" t="s">
        <v>42</v>
      </c>
      <c r="I220" s="1" t="s">
        <v>43</v>
      </c>
      <c r="J220" s="1" t="s">
        <v>44</v>
      </c>
      <c r="K220" s="1" t="s">
        <v>45</v>
      </c>
      <c r="L220" s="1" t="s">
        <v>1144</v>
      </c>
      <c r="M220" s="1" t="s">
        <v>62</v>
      </c>
      <c r="N220" s="1">
        <v>3</v>
      </c>
      <c r="O220" s="1" t="s">
        <v>45</v>
      </c>
      <c r="P220" s="1" t="s">
        <v>45</v>
      </c>
      <c r="Q220" s="1" t="s">
        <v>45</v>
      </c>
      <c r="R220" s="1" t="s">
        <v>49</v>
      </c>
      <c r="S220" s="1" t="s">
        <v>50</v>
      </c>
      <c r="T220" s="1" t="s">
        <v>50</v>
      </c>
      <c r="U220" s="1" t="s">
        <v>45</v>
      </c>
      <c r="V220" s="1" t="s">
        <v>45</v>
      </c>
      <c r="W220" s="1" t="s">
        <v>45</v>
      </c>
      <c r="X220" s="1" t="s">
        <v>45</v>
      </c>
      <c r="Y220" s="1" t="s">
        <v>45</v>
      </c>
      <c r="Z220" s="1">
        <v>0</v>
      </c>
      <c r="AA220" s="1" t="s">
        <v>45</v>
      </c>
      <c r="AB220" s="1" t="s">
        <v>45</v>
      </c>
      <c r="AC220" s="1" t="s">
        <v>45</v>
      </c>
      <c r="AD220" s="1" t="s">
        <v>45</v>
      </c>
      <c r="AE220" s="1" t="s">
        <v>45</v>
      </c>
      <c r="AF220" s="1" t="s">
        <v>51</v>
      </c>
      <c r="AG220" s="1" t="s">
        <v>45</v>
      </c>
      <c r="AH220" s="1" t="s">
        <v>45</v>
      </c>
      <c r="AI220" s="1" t="s">
        <v>45</v>
      </c>
      <c r="AJ220" s="1" t="s">
        <v>45</v>
      </c>
      <c r="AK220" s="1" t="s">
        <v>45</v>
      </c>
      <c r="AL220" s="1" t="s">
        <v>49</v>
      </c>
      <c r="AM220" s="1" t="s">
        <v>49</v>
      </c>
      <c r="AN220" s="1">
        <v>0</v>
      </c>
      <c r="AO220" s="1">
        <v>0</v>
      </c>
      <c r="AP220" s="1">
        <v>0</v>
      </c>
    </row>
  </sheetData>
  <autoFilter ref="B1:AP220" xr:uid="{B784A5A6-767B-4549-B7A2-E4516B145315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2024-11-05T17:22:32Z</dcterms:created>
  <dcterms:modified xsi:type="dcterms:W3CDTF">2024-11-06T15:48:21Z</dcterms:modified>
</cp:coreProperties>
</file>