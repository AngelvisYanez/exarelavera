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OXIMAR\INVENTARIO\"/>
    </mc:Choice>
  </mc:AlternateContent>
  <bookViews>
    <workbookView xWindow="0" yWindow="0" windowWidth="20490" windowHeight="7455"/>
  </bookViews>
  <sheets>
    <sheet name="Productos" sheetId="1" r:id="rId1"/>
    <sheet name="Marca" sheetId="3" r:id="rId2"/>
    <sheet name="Adquisicion" sheetId="2" r:id="rId3"/>
    <sheet name="Iva" sheetId="4" r:id="rId4"/>
    <sheet name="Presentacion" sheetId="5" r:id="rId5"/>
    <sheet name="Ubicacion" sheetId="6" r:id="rId6"/>
    <sheet name="Categoria" sheetId="7" r:id="rId7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1" i="1" l="1"/>
  <c r="J8" i="1"/>
</calcChain>
</file>

<file path=xl/sharedStrings.xml><?xml version="1.0" encoding="utf-8"?>
<sst xmlns="http://schemas.openxmlformats.org/spreadsheetml/2006/main" count="348" uniqueCount="308">
  <si>
    <t>Marca</t>
  </si>
  <si>
    <t>Adquisicion</t>
  </si>
  <si>
    <t>Iva</t>
  </si>
  <si>
    <t>Presentacion</t>
  </si>
  <si>
    <t>Ubicación</t>
  </si>
  <si>
    <t>Categoria</t>
  </si>
  <si>
    <t>Cantidad</t>
  </si>
  <si>
    <t>Precio Compra</t>
  </si>
  <si>
    <t>Precio Venta</t>
  </si>
  <si>
    <t>Descripción Larga</t>
  </si>
  <si>
    <t>Descripción Corta</t>
  </si>
  <si>
    <t>Detalle Producto</t>
  </si>
  <si>
    <t>Bienes</t>
  </si>
  <si>
    <t>Activos Fijos</t>
  </si>
  <si>
    <t>Servicios</t>
  </si>
  <si>
    <t>Gastos</t>
  </si>
  <si>
    <t>Suministros</t>
  </si>
  <si>
    <t>Codigo</t>
  </si>
  <si>
    <t>Descripcion</t>
  </si>
  <si>
    <t xml:space="preserve">Codigo </t>
  </si>
  <si>
    <t>Porcentaje Iva</t>
  </si>
  <si>
    <t>CARTON</t>
  </si>
  <si>
    <t>ROLLO</t>
  </si>
  <si>
    <t>CAJON</t>
  </si>
  <si>
    <t>SACOS</t>
  </si>
  <si>
    <t>FUNDAS</t>
  </si>
  <si>
    <t>CANECA</t>
  </si>
  <si>
    <t>SOBRES</t>
  </si>
  <si>
    <t>BALDE</t>
  </si>
  <si>
    <t>CONGELADA</t>
  </si>
  <si>
    <t>NINGUNA</t>
  </si>
  <si>
    <t>LIBRAS</t>
  </si>
  <si>
    <t>UNIDAD</t>
  </si>
  <si>
    <t>TONELADA</t>
  </si>
  <si>
    <t xml:space="preserve">Descripcion </t>
  </si>
  <si>
    <t>GASCOLL</t>
  </si>
  <si>
    <t>EVERWELL</t>
  </si>
  <si>
    <t>.</t>
  </si>
  <si>
    <t>QUALITY</t>
  </si>
  <si>
    <t>FASSON U.S.</t>
  </si>
  <si>
    <t>EDISSON</t>
  </si>
  <si>
    <t>KODIAK</t>
  </si>
  <si>
    <t>THAWZONE</t>
  </si>
  <si>
    <t>UNIWELD</t>
  </si>
  <si>
    <t>DUPONT</t>
  </si>
  <si>
    <t>UNIVERSAL</t>
  </si>
  <si>
    <t>NACOBRE</t>
  </si>
  <si>
    <t>OVERSEAS</t>
  </si>
  <si>
    <t>KLAUS</t>
  </si>
  <si>
    <t>BM 1</t>
  </si>
  <si>
    <t>LLAVE009</t>
  </si>
  <si>
    <t>BM 1P</t>
  </si>
  <si>
    <t>LLAVE010</t>
  </si>
  <si>
    <t>BM 2</t>
  </si>
  <si>
    <t>LLAVE011</t>
  </si>
  <si>
    <t>BM 2P</t>
  </si>
  <si>
    <t>LLAVE012</t>
  </si>
  <si>
    <t>C 16</t>
  </si>
  <si>
    <t>LLAVE013</t>
  </si>
  <si>
    <t>CI 2</t>
  </si>
  <si>
    <t>LLAVE014</t>
  </si>
  <si>
    <t>CO 6</t>
  </si>
  <si>
    <t>LLAVE020</t>
  </si>
  <si>
    <t>CR 3</t>
  </si>
  <si>
    <t>LLAVE021</t>
  </si>
  <si>
    <t>CT 1P</t>
  </si>
  <si>
    <t>LLAVE022</t>
  </si>
  <si>
    <t>DN 1</t>
  </si>
  <si>
    <t>LLAVE025</t>
  </si>
  <si>
    <t>DN 1P</t>
  </si>
  <si>
    <t>LLAVE026</t>
  </si>
  <si>
    <t>DN 2</t>
  </si>
  <si>
    <t>LLAVE027</t>
  </si>
  <si>
    <t>DN 2P</t>
  </si>
  <si>
    <t>LLAVE028</t>
  </si>
  <si>
    <t>DN 3</t>
  </si>
  <si>
    <t>LLAVE029</t>
  </si>
  <si>
    <t>DN 3P</t>
  </si>
  <si>
    <t>LLAVE030</t>
  </si>
  <si>
    <t>DN 5P</t>
  </si>
  <si>
    <t>LLAVE032</t>
  </si>
  <si>
    <t>DN 8</t>
  </si>
  <si>
    <t>LLAVE033</t>
  </si>
  <si>
    <t>DN 9</t>
  </si>
  <si>
    <t>LLAVE034</t>
  </si>
  <si>
    <t>DP 3</t>
  </si>
  <si>
    <t>LLAVE036</t>
  </si>
  <si>
    <t>DP 4</t>
  </si>
  <si>
    <t>LLAVE037</t>
  </si>
  <si>
    <t>DP 5</t>
  </si>
  <si>
    <t>LLAVE038</t>
  </si>
  <si>
    <t>DP 6</t>
  </si>
  <si>
    <t>LLAVE039</t>
  </si>
  <si>
    <t>EL 1</t>
  </si>
  <si>
    <t>LLAVE041</t>
  </si>
  <si>
    <t>FLEXON</t>
  </si>
  <si>
    <t>LLAVE042</t>
  </si>
  <si>
    <t>FAN 1D</t>
  </si>
  <si>
    <t>LLAVE047</t>
  </si>
  <si>
    <t>FI 2P</t>
  </si>
  <si>
    <t>LLAVE050</t>
  </si>
  <si>
    <t>FO 1</t>
  </si>
  <si>
    <t>LLAVE051</t>
  </si>
  <si>
    <t>FO 2</t>
  </si>
  <si>
    <t>LLAVE054</t>
  </si>
  <si>
    <t>FO 25</t>
  </si>
  <si>
    <t>LLAVE055</t>
  </si>
  <si>
    <t>FO 6</t>
  </si>
  <si>
    <t>LLAVE057</t>
  </si>
  <si>
    <t>FO 7P</t>
  </si>
  <si>
    <t>LLAVE059</t>
  </si>
  <si>
    <t>GB 1</t>
  </si>
  <si>
    <t>LLAVE063</t>
  </si>
  <si>
    <t>GB 7</t>
  </si>
  <si>
    <t>LLAVE066</t>
  </si>
  <si>
    <t>GM 14P</t>
  </si>
  <si>
    <t>LLAVE069</t>
  </si>
  <si>
    <t>GM 19P</t>
  </si>
  <si>
    <t>LLAVE072</t>
  </si>
  <si>
    <t>GM 26</t>
  </si>
  <si>
    <t>LLAVE075</t>
  </si>
  <si>
    <t>GM 26P</t>
  </si>
  <si>
    <t>LLAVE076</t>
  </si>
  <si>
    <t>GM 3</t>
  </si>
  <si>
    <t>LLAVE077</t>
  </si>
  <si>
    <t>GM 5</t>
  </si>
  <si>
    <t>LLAVE080</t>
  </si>
  <si>
    <t>GM 7</t>
  </si>
  <si>
    <t>LLAVE082</t>
  </si>
  <si>
    <t>GM 9</t>
  </si>
  <si>
    <t>LLAVE084</t>
  </si>
  <si>
    <t>GMB</t>
  </si>
  <si>
    <t>LLAVE085</t>
  </si>
  <si>
    <t>ISU 1</t>
  </si>
  <si>
    <t>LLAVE094</t>
  </si>
  <si>
    <t>ISU 1P</t>
  </si>
  <si>
    <t>LLAVE095</t>
  </si>
  <si>
    <t>ISU 2</t>
  </si>
  <si>
    <t>LLAVE096</t>
  </si>
  <si>
    <t>ISU 2P</t>
  </si>
  <si>
    <t>LLAVE097</t>
  </si>
  <si>
    <t>K 1</t>
  </si>
  <si>
    <t>LLAVE098</t>
  </si>
  <si>
    <t>KW 1</t>
  </si>
  <si>
    <t>LLAVE099</t>
  </si>
  <si>
    <t>KW 7</t>
  </si>
  <si>
    <t>LLAVE101</t>
  </si>
  <si>
    <t>LD 2</t>
  </si>
  <si>
    <t>LLAVE102</t>
  </si>
  <si>
    <t>MC 1P</t>
  </si>
  <si>
    <t>LLAVE103</t>
  </si>
  <si>
    <t>MG 1P</t>
  </si>
  <si>
    <t>LLAVE104</t>
  </si>
  <si>
    <t>MZ 1</t>
  </si>
  <si>
    <t>LLAVE106</t>
  </si>
  <si>
    <t>MZ 1P</t>
  </si>
  <si>
    <t>LLAVE107</t>
  </si>
  <si>
    <t>MZ 5</t>
  </si>
  <si>
    <t>LLAVE108</t>
  </si>
  <si>
    <t>OP 1P</t>
  </si>
  <si>
    <t>LLAVE109</t>
  </si>
  <si>
    <t>OP 1</t>
  </si>
  <si>
    <t>LLAVE110</t>
  </si>
  <si>
    <t>OP 3P</t>
  </si>
  <si>
    <t>LLAVE111</t>
  </si>
  <si>
    <t>OP 4P</t>
  </si>
  <si>
    <t>LLAVE112</t>
  </si>
  <si>
    <t>OP 5P</t>
  </si>
  <si>
    <t>LLAVE113</t>
  </si>
  <si>
    <t>PE 5</t>
  </si>
  <si>
    <t>LLAVE116</t>
  </si>
  <si>
    <t>PE 5P</t>
  </si>
  <si>
    <t>LLAVE117</t>
  </si>
  <si>
    <t>PR 1</t>
  </si>
  <si>
    <t>LLAVE121</t>
  </si>
  <si>
    <t>RN 3</t>
  </si>
  <si>
    <t>LLAVE123</t>
  </si>
  <si>
    <t>SC 7</t>
  </si>
  <si>
    <t>LLAVE128</t>
  </si>
  <si>
    <t>SZ 1</t>
  </si>
  <si>
    <t>LLAVE130</t>
  </si>
  <si>
    <t>SZ 1P</t>
  </si>
  <si>
    <t>LLAVE131</t>
  </si>
  <si>
    <t>SZ 2</t>
  </si>
  <si>
    <t>LLAVE132</t>
  </si>
  <si>
    <t>SZ 3P</t>
  </si>
  <si>
    <t>LLAVE134</t>
  </si>
  <si>
    <t>SZ 4P</t>
  </si>
  <si>
    <t>LLAVE136</t>
  </si>
  <si>
    <t>TO 1</t>
  </si>
  <si>
    <t>LLAVE140</t>
  </si>
  <si>
    <t>TO 10</t>
  </si>
  <si>
    <t>LLAVE141</t>
  </si>
  <si>
    <t>TO 12</t>
  </si>
  <si>
    <t>LLAVE145</t>
  </si>
  <si>
    <t>TO 13</t>
  </si>
  <si>
    <t>LLAVE147</t>
  </si>
  <si>
    <t>TO 13P</t>
  </si>
  <si>
    <t>LLAVE148</t>
  </si>
  <si>
    <t>TO 1P</t>
  </si>
  <si>
    <t>LLAVE149</t>
  </si>
  <si>
    <t>TO 2</t>
  </si>
  <si>
    <t>LLAVE150</t>
  </si>
  <si>
    <t>TO 2P</t>
  </si>
  <si>
    <t>LLAVE151</t>
  </si>
  <si>
    <t>TO 5</t>
  </si>
  <si>
    <t>LLAVE152</t>
  </si>
  <si>
    <t>TO 6</t>
  </si>
  <si>
    <t>LLAVE154</t>
  </si>
  <si>
    <t>TO 6P</t>
  </si>
  <si>
    <t>LLAVE155</t>
  </si>
  <si>
    <t>TO 7</t>
  </si>
  <si>
    <t>LLAVE156</t>
  </si>
  <si>
    <t>TO 8</t>
  </si>
  <si>
    <t>LLAVE157</t>
  </si>
  <si>
    <t>TO 8P</t>
  </si>
  <si>
    <t>LLAVE158</t>
  </si>
  <si>
    <t>TO 9P</t>
  </si>
  <si>
    <t>LLAVE159</t>
  </si>
  <si>
    <t>TT 50</t>
  </si>
  <si>
    <t>LLAVE160</t>
  </si>
  <si>
    <t>VI 13</t>
  </si>
  <si>
    <t>LLAVE164</t>
  </si>
  <si>
    <t>VI 14</t>
  </si>
  <si>
    <t>LLAVE165</t>
  </si>
  <si>
    <t>VI 3</t>
  </si>
  <si>
    <t>LLAVE169</t>
  </si>
  <si>
    <t>VI 4</t>
  </si>
  <si>
    <t>LLAVE170</t>
  </si>
  <si>
    <t>VI 6</t>
  </si>
  <si>
    <t>LLAVE172</t>
  </si>
  <si>
    <t>VI 9</t>
  </si>
  <si>
    <t>LLAVE175</t>
  </si>
  <si>
    <t>VO  1P</t>
  </si>
  <si>
    <t>LLAVE178</t>
  </si>
  <si>
    <t>VW 1</t>
  </si>
  <si>
    <t>LLAVE179</t>
  </si>
  <si>
    <t>VW 11P</t>
  </si>
  <si>
    <t>LLAVE180</t>
  </si>
  <si>
    <t>VW 16P</t>
  </si>
  <si>
    <t>LLAVE182</t>
  </si>
  <si>
    <t>VW 2P</t>
  </si>
  <si>
    <t>LLAVE184</t>
  </si>
  <si>
    <t>VW 3</t>
  </si>
  <si>
    <t>LLAVE185</t>
  </si>
  <si>
    <t>WA 1</t>
  </si>
  <si>
    <t>LLAVE187</t>
  </si>
  <si>
    <t>YA 1</t>
  </si>
  <si>
    <t>LLAVE190</t>
  </si>
  <si>
    <t>YA 10</t>
  </si>
  <si>
    <t>LLAVE191</t>
  </si>
  <si>
    <t>YA 11</t>
  </si>
  <si>
    <t>LLAVE194</t>
  </si>
  <si>
    <t>YA 7</t>
  </si>
  <si>
    <t>LLAVE200</t>
  </si>
  <si>
    <t>YH 8P</t>
  </si>
  <si>
    <t>LLAVE210</t>
  </si>
  <si>
    <t>ZD 1P</t>
  </si>
  <si>
    <t>LLAVE211</t>
  </si>
  <si>
    <t>VI 2</t>
  </si>
  <si>
    <t>LLAVE214</t>
  </si>
  <si>
    <t>SC 1K</t>
  </si>
  <si>
    <t>LLAVE219</t>
  </si>
  <si>
    <t>AB 1</t>
  </si>
  <si>
    <t>LLAVE230</t>
  </si>
  <si>
    <t>AB 3</t>
  </si>
  <si>
    <t>LLAVE231</t>
  </si>
  <si>
    <t>TO 3</t>
  </si>
  <si>
    <t>LLAVE238</t>
  </si>
  <si>
    <t>HO 14</t>
  </si>
  <si>
    <t>LLAVE239</t>
  </si>
  <si>
    <t>KW 1EUP AZU</t>
  </si>
  <si>
    <t>LLAVE244</t>
  </si>
  <si>
    <t>MZ 6P</t>
  </si>
  <si>
    <t>LLAVE253</t>
  </si>
  <si>
    <t>TO 9</t>
  </si>
  <si>
    <t>LLAVE257</t>
  </si>
  <si>
    <t>CR 6</t>
  </si>
  <si>
    <t>LLAVE271</t>
  </si>
  <si>
    <t>GM 21</t>
  </si>
  <si>
    <t>LLAVE272</t>
  </si>
  <si>
    <t>TO 7P</t>
  </si>
  <si>
    <t>LLAVE275</t>
  </si>
  <si>
    <t>VW 9</t>
  </si>
  <si>
    <t>LLAVE276</t>
  </si>
  <si>
    <t>YH 4P</t>
  </si>
  <si>
    <t>LLAVE278</t>
  </si>
  <si>
    <t>TRU 1D</t>
  </si>
  <si>
    <t>LLAVE281</t>
  </si>
  <si>
    <t>CAT 1</t>
  </si>
  <si>
    <t>LLAVE282</t>
  </si>
  <si>
    <t>TRU 4D</t>
  </si>
  <si>
    <t>LLAVE287</t>
  </si>
  <si>
    <t>FAN 3D</t>
  </si>
  <si>
    <t>LLAVE291</t>
  </si>
  <si>
    <t>MI 2P</t>
  </si>
  <si>
    <t>LLAVE296</t>
  </si>
  <si>
    <t>HY 10P</t>
  </si>
  <si>
    <t>LLAVE298</t>
  </si>
  <si>
    <t>HO 9P</t>
  </si>
  <si>
    <t>LLAVE300</t>
  </si>
  <si>
    <t>FO 27P</t>
  </si>
  <si>
    <t>LLAVE301</t>
  </si>
  <si>
    <t>KI 5P</t>
  </si>
  <si>
    <t>LLAVE302</t>
  </si>
  <si>
    <t>DW 1</t>
  </si>
  <si>
    <t>LLAVE305</t>
  </si>
  <si>
    <t>LLAVES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</si>
</sst>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0_);\-#,##0.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"/>
      <name val="Tahoma"/>
      <family val="2"/>
    </font>
    <font>
      <sz val="7.8"/>
      <color indexed="8"/>
      <name val="Draft 15cpi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Protection="1">
      <protection locked="0"/>
    </xf>
    <xf numFmtId="0" fontId="1" fillId="2" borderId="1" xfId="0" applyFont="1" applyFill="1" applyBorder="1" applyProtection="1">
      <protection hidden="1"/>
    </xf>
    <xf numFmtId="0" fontId="1" fillId="2" borderId="2" xfId="0" applyFont="1" applyFill="1" applyBorder="1" applyProtection="1">
      <protection hidden="1"/>
    </xf>
    <xf numFmtId="0" fontId="1" fillId="0" borderId="0" xfId="0" applyFont="1"/>
    <xf numFmtId="14" fontId="0" fillId="0" borderId="0" xfId="0" applyNumberFormat="1"/>
    <xf numFmtId="0" fontId="2" fillId="0" borderId="0" xfId="0" applyFont="1" applyAlignment="1" applyProtection="1">
      <alignment vertical="center"/>
      <protection locked="0"/>
    </xf>
    <xf numFmtId="164" fontId="2" fillId="0" borderId="0" xfId="0" applyNumberFormat="1" applyFont="1" applyAlignment="1" applyProtection="1">
      <alignment horizontal="center" vertical="center"/>
      <protection locked="0"/>
    </xf>
    <xf numFmtId="164" fontId="3" fillId="0" borderId="0" xfId="0" applyNumberFormat="1" applyFont="1" applyAlignment="1" applyProtection="1">
      <alignment horizontal="right" vertical="center"/>
      <protection locked="0"/>
    </xf>
    <xf numFmtId="0" fontId="2" fillId="0" borderId="3" xfId="0" applyFont="1" applyBorder="1" applyAlignment="1" applyProtection="1">
      <alignment vertical="center"/>
      <protection locked="0"/>
    </xf>
    <xf numFmtId="1" fontId="2" fillId="0" borderId="4" xfId="0" applyNumberFormat="1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0"/>
  <sheetViews>
    <sheetView tabSelected="1" workbookViewId="0">
      <selection activeCell="K55" sqref="K1:K1048576"/>
    </sheetView>
  </sheetViews>
  <sheetFormatPr baseColWidth="10" defaultRowHeight="15" x14ac:dyDescent="0.25"/>
  <cols>
    <col min="1" max="3" width="11.42578125" style="1"/>
    <col min="4" max="4" width="13.42578125" style="1" customWidth="1"/>
    <col min="5" max="6" width="11.42578125" style="1"/>
    <col min="7" max="7" width="35.85546875" style="1" customWidth="1"/>
    <col min="8" max="8" width="28.5703125" style="1" customWidth="1"/>
    <col min="9" max="9" width="21.7109375" style="1" customWidth="1"/>
    <col min="10" max="10" width="11.42578125" style="1"/>
    <col min="11" max="12" width="14.85546875" style="1" customWidth="1"/>
    <col min="13" max="16384" width="11.42578125" style="1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9</v>
      </c>
      <c r="H1" s="2" t="s">
        <v>10</v>
      </c>
      <c r="I1" s="2" t="s">
        <v>11</v>
      </c>
      <c r="J1" s="2" t="s">
        <v>6</v>
      </c>
      <c r="K1" s="2" t="s">
        <v>7</v>
      </c>
      <c r="L1" s="3" t="s">
        <v>8</v>
      </c>
    </row>
    <row r="2" spans="1:12" x14ac:dyDescent="0.25">
      <c r="A2" s="1">
        <v>1622</v>
      </c>
      <c r="B2" s="1">
        <v>1</v>
      </c>
      <c r="C2" s="1">
        <v>6</v>
      </c>
      <c r="D2" s="1">
        <v>12</v>
      </c>
      <c r="E2" s="1">
        <v>314</v>
      </c>
      <c r="F2" s="1">
        <v>1626</v>
      </c>
      <c r="G2" s="6" t="s">
        <v>49</v>
      </c>
      <c r="H2" s="6" t="s">
        <v>50</v>
      </c>
      <c r="I2" s="1" t="s">
        <v>37</v>
      </c>
      <c r="J2" s="10">
        <v>211</v>
      </c>
      <c r="K2" s="7">
        <v>0.20069999999999999</v>
      </c>
      <c r="L2" s="8">
        <v>0.35960000000000003</v>
      </c>
    </row>
    <row r="3" spans="1:12" x14ac:dyDescent="0.25">
      <c r="A3" s="1">
        <v>1622</v>
      </c>
      <c r="B3" s="1">
        <v>1</v>
      </c>
      <c r="C3" s="1">
        <v>6</v>
      </c>
      <c r="D3" s="1">
        <v>12</v>
      </c>
      <c r="E3" s="1">
        <v>314</v>
      </c>
      <c r="F3" s="1">
        <v>1626</v>
      </c>
      <c r="G3" s="6" t="s">
        <v>51</v>
      </c>
      <c r="H3" s="6" t="s">
        <v>52</v>
      </c>
      <c r="I3" s="1" t="s">
        <v>37</v>
      </c>
      <c r="J3" s="10">
        <v>244</v>
      </c>
      <c r="K3" s="7">
        <v>0.31359999999999999</v>
      </c>
      <c r="L3" s="8">
        <v>0.35960000000000003</v>
      </c>
    </row>
    <row r="4" spans="1:12" x14ac:dyDescent="0.25">
      <c r="A4" s="1">
        <v>1622</v>
      </c>
      <c r="B4" s="1">
        <v>1</v>
      </c>
      <c r="C4" s="1">
        <v>6</v>
      </c>
      <c r="D4" s="1">
        <v>12</v>
      </c>
      <c r="E4" s="1">
        <v>314</v>
      </c>
      <c r="F4" s="1">
        <v>1626</v>
      </c>
      <c r="G4" s="6" t="s">
        <v>53</v>
      </c>
      <c r="H4" s="6" t="s">
        <v>54</v>
      </c>
      <c r="I4" s="1" t="s">
        <v>37</v>
      </c>
      <c r="J4" s="10">
        <v>396</v>
      </c>
      <c r="K4" s="7">
        <v>0.20069999999999999</v>
      </c>
      <c r="L4" s="8">
        <v>0.36</v>
      </c>
    </row>
    <row r="5" spans="1:12" x14ac:dyDescent="0.25">
      <c r="A5" s="1">
        <v>1622</v>
      </c>
      <c r="B5" s="1">
        <v>1</v>
      </c>
      <c r="C5" s="1">
        <v>6</v>
      </c>
      <c r="D5" s="1">
        <v>12</v>
      </c>
      <c r="E5" s="1">
        <v>314</v>
      </c>
      <c r="F5" s="1">
        <v>1626</v>
      </c>
      <c r="G5" s="6" t="s">
        <v>55</v>
      </c>
      <c r="H5" s="6" t="s">
        <v>56</v>
      </c>
      <c r="I5" s="1" t="s">
        <v>37</v>
      </c>
      <c r="J5" s="10">
        <v>165</v>
      </c>
      <c r="K5" s="7">
        <v>0.31359999999999999</v>
      </c>
      <c r="L5" s="8">
        <v>0.45</v>
      </c>
    </row>
    <row r="6" spans="1:12" x14ac:dyDescent="0.25">
      <c r="A6" s="1">
        <v>1622</v>
      </c>
      <c r="B6" s="1">
        <v>1</v>
      </c>
      <c r="C6" s="1">
        <v>6</v>
      </c>
      <c r="D6" s="1">
        <v>12</v>
      </c>
      <c r="E6" s="1">
        <v>314</v>
      </c>
      <c r="F6" s="1">
        <v>1626</v>
      </c>
      <c r="G6" s="6" t="s">
        <v>57</v>
      </c>
      <c r="H6" s="6" t="s">
        <v>58</v>
      </c>
      <c r="I6" s="1" t="s">
        <v>37</v>
      </c>
      <c r="J6" s="10">
        <v>175</v>
      </c>
      <c r="K6" s="7">
        <v>0.20699999999999999</v>
      </c>
      <c r="L6" s="8">
        <v>0.36</v>
      </c>
    </row>
    <row r="7" spans="1:12" x14ac:dyDescent="0.25">
      <c r="A7" s="1">
        <v>1622</v>
      </c>
      <c r="B7" s="1">
        <v>1</v>
      </c>
      <c r="C7" s="1">
        <v>6</v>
      </c>
      <c r="D7" s="1">
        <v>12</v>
      </c>
      <c r="E7" s="1">
        <v>314</v>
      </c>
      <c r="F7" s="1">
        <v>1626</v>
      </c>
      <c r="G7" s="6" t="s">
        <v>59</v>
      </c>
      <c r="H7" s="6" t="s">
        <v>60</v>
      </c>
      <c r="I7" s="1" t="s">
        <v>37</v>
      </c>
      <c r="J7" s="10">
        <v>117</v>
      </c>
      <c r="K7" s="7">
        <v>0.20069999999999999</v>
      </c>
      <c r="L7" s="8">
        <v>0.45</v>
      </c>
    </row>
    <row r="8" spans="1:12" x14ac:dyDescent="0.25">
      <c r="A8" s="1">
        <v>1622</v>
      </c>
      <c r="B8" s="1">
        <v>1</v>
      </c>
      <c r="C8" s="1">
        <v>6</v>
      </c>
      <c r="D8" s="1">
        <v>12</v>
      </c>
      <c r="E8" s="1">
        <v>314</v>
      </c>
      <c r="F8" s="1">
        <v>1626</v>
      </c>
      <c r="G8" s="6" t="s">
        <v>61</v>
      </c>
      <c r="H8" s="6" t="s">
        <v>62</v>
      </c>
      <c r="I8" s="1" t="s">
        <v>37</v>
      </c>
      <c r="J8" s="10">
        <f>5891+4+1</f>
        <v>5896</v>
      </c>
      <c r="K8" s="7">
        <v>0.13700000000000001</v>
      </c>
      <c r="L8" s="8">
        <v>0.36</v>
      </c>
    </row>
    <row r="9" spans="1:12" x14ac:dyDescent="0.25">
      <c r="A9" s="1">
        <v>1622</v>
      </c>
      <c r="B9" s="1">
        <v>1</v>
      </c>
      <c r="C9" s="1">
        <v>6</v>
      </c>
      <c r="D9" s="1">
        <v>12</v>
      </c>
      <c r="E9" s="1">
        <v>314</v>
      </c>
      <c r="F9" s="1">
        <v>1626</v>
      </c>
      <c r="G9" s="6" t="s">
        <v>63</v>
      </c>
      <c r="H9" s="6" t="s">
        <v>64</v>
      </c>
      <c r="I9" s="1" t="s">
        <v>37</v>
      </c>
      <c r="J9" s="10">
        <v>69</v>
      </c>
      <c r="K9" s="7">
        <v>0.13700000000000001</v>
      </c>
      <c r="L9" s="8">
        <v>0.35709999999999992</v>
      </c>
    </row>
    <row r="10" spans="1:12" x14ac:dyDescent="0.25">
      <c r="A10" s="1">
        <v>1622</v>
      </c>
      <c r="B10" s="1">
        <v>1</v>
      </c>
      <c r="C10" s="1">
        <v>6</v>
      </c>
      <c r="D10" s="1">
        <v>12</v>
      </c>
      <c r="E10" s="1">
        <v>314</v>
      </c>
      <c r="F10" s="1">
        <v>1626</v>
      </c>
      <c r="G10" s="6" t="s">
        <v>65</v>
      </c>
      <c r="H10" s="6" t="s">
        <v>66</v>
      </c>
      <c r="I10" s="1" t="s">
        <v>37</v>
      </c>
      <c r="J10" s="10">
        <v>62</v>
      </c>
      <c r="K10" s="7">
        <v>0.14000000000000001</v>
      </c>
      <c r="L10" s="8">
        <v>0.36</v>
      </c>
    </row>
    <row r="11" spans="1:12" x14ac:dyDescent="0.25">
      <c r="A11" s="1">
        <v>1622</v>
      </c>
      <c r="B11" s="1">
        <v>1</v>
      </c>
      <c r="C11" s="1">
        <v>6</v>
      </c>
      <c r="D11" s="1">
        <v>12</v>
      </c>
      <c r="E11" s="1">
        <v>314</v>
      </c>
      <c r="F11" s="1">
        <v>1626</v>
      </c>
      <c r="G11" s="6" t="s">
        <v>67</v>
      </c>
      <c r="H11" s="6" t="s">
        <v>68</v>
      </c>
      <c r="I11" s="1" t="s">
        <v>37</v>
      </c>
      <c r="J11" s="10">
        <f>472+6</f>
        <v>478</v>
      </c>
      <c r="K11" s="7">
        <v>0.20069999999999999</v>
      </c>
      <c r="L11" s="8">
        <v>0.27</v>
      </c>
    </row>
    <row r="12" spans="1:12" x14ac:dyDescent="0.25">
      <c r="A12" s="1">
        <v>1622</v>
      </c>
      <c r="B12" s="1">
        <v>1</v>
      </c>
      <c r="C12" s="1">
        <v>6</v>
      </c>
      <c r="D12" s="1">
        <v>12</v>
      </c>
      <c r="E12" s="1">
        <v>314</v>
      </c>
      <c r="F12" s="1">
        <v>1626</v>
      </c>
      <c r="G12" s="6" t="s">
        <v>69</v>
      </c>
      <c r="H12" s="6" t="s">
        <v>70</v>
      </c>
      <c r="I12" s="1" t="s">
        <v>37</v>
      </c>
      <c r="J12" s="10">
        <v>224</v>
      </c>
      <c r="K12" s="7">
        <v>0.31359999999999999</v>
      </c>
      <c r="L12" s="8">
        <v>0.27</v>
      </c>
    </row>
    <row r="13" spans="1:12" x14ac:dyDescent="0.25">
      <c r="A13" s="1">
        <v>1622</v>
      </c>
      <c r="B13" s="1">
        <v>1</v>
      </c>
      <c r="C13" s="1">
        <v>6</v>
      </c>
      <c r="D13" s="1">
        <v>12</v>
      </c>
      <c r="E13" s="1">
        <v>314</v>
      </c>
      <c r="F13" s="1">
        <v>1626</v>
      </c>
      <c r="G13" s="6" t="s">
        <v>71</v>
      </c>
      <c r="H13" s="6" t="s">
        <v>72</v>
      </c>
      <c r="I13" s="1" t="s">
        <v>37</v>
      </c>
      <c r="J13" s="10">
        <v>20</v>
      </c>
      <c r="K13" s="7">
        <v>0.16750000000000001</v>
      </c>
      <c r="L13" s="8">
        <v>0.27189999999999998</v>
      </c>
    </row>
    <row r="14" spans="1:12" x14ac:dyDescent="0.25">
      <c r="A14" s="1">
        <v>1622</v>
      </c>
      <c r="B14" s="1">
        <v>1</v>
      </c>
      <c r="C14" s="1">
        <v>6</v>
      </c>
      <c r="D14" s="1">
        <v>12</v>
      </c>
      <c r="E14" s="1">
        <v>314</v>
      </c>
      <c r="F14" s="1">
        <v>1626</v>
      </c>
      <c r="G14" s="9" t="s">
        <v>73</v>
      </c>
      <c r="H14" s="9" t="s">
        <v>74</v>
      </c>
      <c r="I14" s="1" t="s">
        <v>37</v>
      </c>
      <c r="J14" s="10">
        <v>30</v>
      </c>
      <c r="K14" s="7">
        <v>0.22759999999999997</v>
      </c>
      <c r="L14" s="8">
        <v>0.27</v>
      </c>
    </row>
    <row r="15" spans="1:12" x14ac:dyDescent="0.25">
      <c r="A15" s="1">
        <v>1622</v>
      </c>
      <c r="B15" s="1">
        <v>1</v>
      </c>
      <c r="C15" s="1">
        <v>6</v>
      </c>
      <c r="D15" s="1">
        <v>12</v>
      </c>
      <c r="E15" s="1">
        <v>314</v>
      </c>
      <c r="F15" s="1">
        <v>1626</v>
      </c>
      <c r="G15" s="6" t="s">
        <v>75</v>
      </c>
      <c r="H15" s="6" t="s">
        <v>76</v>
      </c>
      <c r="I15" s="1" t="s">
        <v>37</v>
      </c>
      <c r="J15" s="10">
        <v>567</v>
      </c>
      <c r="K15" s="7">
        <v>0.20069999999999999</v>
      </c>
      <c r="L15" s="8">
        <v>0.36</v>
      </c>
    </row>
    <row r="16" spans="1:12" x14ac:dyDescent="0.25">
      <c r="A16" s="1">
        <v>1622</v>
      </c>
      <c r="B16" s="1">
        <v>1</v>
      </c>
      <c r="C16" s="1">
        <v>6</v>
      </c>
      <c r="D16" s="1">
        <v>12</v>
      </c>
      <c r="E16" s="1">
        <v>314</v>
      </c>
      <c r="F16" s="1">
        <v>1626</v>
      </c>
      <c r="G16" s="6" t="s">
        <v>77</v>
      </c>
      <c r="H16" s="6" t="s">
        <v>78</v>
      </c>
      <c r="I16" s="1" t="s">
        <v>37</v>
      </c>
      <c r="J16" s="10">
        <v>200</v>
      </c>
      <c r="K16" s="7">
        <v>0.31359999999999999</v>
      </c>
      <c r="L16" s="8">
        <v>0.45</v>
      </c>
    </row>
    <row r="17" spans="1:12" x14ac:dyDescent="0.25">
      <c r="A17" s="1">
        <v>1622</v>
      </c>
      <c r="B17" s="1">
        <v>1</v>
      </c>
      <c r="C17" s="1">
        <v>6</v>
      </c>
      <c r="D17" s="1">
        <v>12</v>
      </c>
      <c r="E17" s="1">
        <v>314</v>
      </c>
      <c r="F17" s="1">
        <v>1626</v>
      </c>
      <c r="G17" s="6" t="s">
        <v>79</v>
      </c>
      <c r="H17" s="6" t="s">
        <v>80</v>
      </c>
      <c r="I17" s="1" t="s">
        <v>37</v>
      </c>
      <c r="J17" s="10">
        <v>250</v>
      </c>
      <c r="K17" s="7">
        <v>0.31359999999999999</v>
      </c>
      <c r="L17" s="8">
        <v>0.36</v>
      </c>
    </row>
    <row r="18" spans="1:12" x14ac:dyDescent="0.25">
      <c r="A18" s="1">
        <v>1622</v>
      </c>
      <c r="B18" s="1">
        <v>1</v>
      </c>
      <c r="C18" s="1">
        <v>6</v>
      </c>
      <c r="D18" s="1">
        <v>12</v>
      </c>
      <c r="E18" s="1">
        <v>314</v>
      </c>
      <c r="F18" s="1">
        <v>1626</v>
      </c>
      <c r="G18" s="6" t="s">
        <v>81</v>
      </c>
      <c r="H18" s="6" t="s">
        <v>82</v>
      </c>
      <c r="I18" s="1" t="s">
        <v>37</v>
      </c>
      <c r="J18" s="10">
        <v>73</v>
      </c>
      <c r="K18" s="7">
        <v>0.20069999999999999</v>
      </c>
      <c r="L18" s="8">
        <v>0.45</v>
      </c>
    </row>
    <row r="19" spans="1:12" x14ac:dyDescent="0.25">
      <c r="A19" s="1">
        <v>1622</v>
      </c>
      <c r="B19" s="1">
        <v>1</v>
      </c>
      <c r="C19" s="1">
        <v>6</v>
      </c>
      <c r="D19" s="1">
        <v>12</v>
      </c>
      <c r="E19" s="1">
        <v>314</v>
      </c>
      <c r="F19" s="1">
        <v>1626</v>
      </c>
      <c r="G19" s="6" t="s">
        <v>83</v>
      </c>
      <c r="H19" s="6" t="s">
        <v>84</v>
      </c>
      <c r="I19" s="1" t="s">
        <v>37</v>
      </c>
      <c r="J19" s="10">
        <v>25</v>
      </c>
      <c r="K19" s="7">
        <v>0.20069999999999999</v>
      </c>
      <c r="L19" s="8">
        <v>0.36</v>
      </c>
    </row>
    <row r="20" spans="1:12" x14ac:dyDescent="0.25">
      <c r="A20" s="1">
        <v>1622</v>
      </c>
      <c r="B20" s="1">
        <v>1</v>
      </c>
      <c r="C20" s="1">
        <v>6</v>
      </c>
      <c r="D20" s="1">
        <v>12</v>
      </c>
      <c r="E20" s="1">
        <v>314</v>
      </c>
      <c r="F20" s="1">
        <v>1626</v>
      </c>
      <c r="G20" s="6" t="s">
        <v>85</v>
      </c>
      <c r="H20" s="6" t="s">
        <v>86</v>
      </c>
      <c r="I20" s="1" t="s">
        <v>37</v>
      </c>
      <c r="J20" s="10">
        <v>48</v>
      </c>
      <c r="K20" s="7">
        <v>0.20069999999999999</v>
      </c>
      <c r="L20" s="8">
        <v>0.45</v>
      </c>
    </row>
    <row r="21" spans="1:12" x14ac:dyDescent="0.25">
      <c r="A21" s="1">
        <v>1622</v>
      </c>
      <c r="B21" s="1">
        <v>1</v>
      </c>
      <c r="C21" s="1">
        <v>6</v>
      </c>
      <c r="D21" s="1">
        <v>12</v>
      </c>
      <c r="E21" s="1">
        <v>314</v>
      </c>
      <c r="F21" s="1">
        <v>1626</v>
      </c>
      <c r="G21" s="6" t="s">
        <v>87</v>
      </c>
      <c r="H21" s="6" t="s">
        <v>88</v>
      </c>
      <c r="I21" s="1" t="s">
        <v>37</v>
      </c>
      <c r="J21" s="10">
        <v>50</v>
      </c>
      <c r="K21" s="7">
        <v>0.20069999999999999</v>
      </c>
      <c r="L21" s="8">
        <v>0.45</v>
      </c>
    </row>
    <row r="22" spans="1:12" x14ac:dyDescent="0.25">
      <c r="A22" s="1">
        <v>1622</v>
      </c>
      <c r="B22" s="1">
        <v>1</v>
      </c>
      <c r="C22" s="1">
        <v>6</v>
      </c>
      <c r="D22" s="1">
        <v>12</v>
      </c>
      <c r="E22" s="1">
        <v>314</v>
      </c>
      <c r="F22" s="1">
        <v>1626</v>
      </c>
      <c r="G22" s="6" t="s">
        <v>89</v>
      </c>
      <c r="H22" s="6" t="s">
        <v>90</v>
      </c>
      <c r="I22" s="1" t="s">
        <v>37</v>
      </c>
      <c r="J22" s="10">
        <v>301</v>
      </c>
      <c r="K22" s="7">
        <v>0.20069999999999999</v>
      </c>
      <c r="L22" s="8">
        <v>0.36</v>
      </c>
    </row>
    <row r="23" spans="1:12" x14ac:dyDescent="0.25">
      <c r="A23" s="1">
        <v>1622</v>
      </c>
      <c r="B23" s="1">
        <v>1</v>
      </c>
      <c r="C23" s="1">
        <v>6</v>
      </c>
      <c r="D23" s="1">
        <v>12</v>
      </c>
      <c r="E23" s="1">
        <v>314</v>
      </c>
      <c r="F23" s="1">
        <v>1626</v>
      </c>
      <c r="G23" s="6" t="s">
        <v>91</v>
      </c>
      <c r="H23" s="6" t="s">
        <v>92</v>
      </c>
      <c r="I23" s="1" t="s">
        <v>37</v>
      </c>
      <c r="J23" s="10">
        <v>101</v>
      </c>
      <c r="K23" s="7">
        <v>0.20069999999999999</v>
      </c>
      <c r="L23" s="8">
        <v>0.36</v>
      </c>
    </row>
    <row r="24" spans="1:12" x14ac:dyDescent="0.25">
      <c r="A24" s="1">
        <v>1622</v>
      </c>
      <c r="B24" s="1">
        <v>1</v>
      </c>
      <c r="C24" s="1">
        <v>6</v>
      </c>
      <c r="D24" s="1">
        <v>12</v>
      </c>
      <c r="E24" s="1">
        <v>314</v>
      </c>
      <c r="F24" s="1">
        <v>1626</v>
      </c>
      <c r="G24" s="6" t="s">
        <v>93</v>
      </c>
      <c r="H24" s="6" t="s">
        <v>94</v>
      </c>
      <c r="I24" s="1" t="s">
        <v>37</v>
      </c>
      <c r="J24" s="10">
        <v>97</v>
      </c>
      <c r="K24" s="7">
        <v>0.20069999999999999</v>
      </c>
      <c r="L24" s="8">
        <v>0.36</v>
      </c>
    </row>
    <row r="25" spans="1:12" x14ac:dyDescent="0.25">
      <c r="A25" s="1">
        <v>1622</v>
      </c>
      <c r="B25" s="1">
        <v>1</v>
      </c>
      <c r="C25" s="1">
        <v>6</v>
      </c>
      <c r="D25" s="1">
        <v>12</v>
      </c>
      <c r="E25" s="1">
        <v>314</v>
      </c>
      <c r="F25" s="1">
        <v>1626</v>
      </c>
      <c r="G25" s="6" t="s">
        <v>95</v>
      </c>
      <c r="H25" s="6" t="s">
        <v>96</v>
      </c>
      <c r="I25" s="1" t="s">
        <v>37</v>
      </c>
      <c r="J25" s="10">
        <v>80</v>
      </c>
      <c r="K25" s="7">
        <v>1.21</v>
      </c>
      <c r="L25" s="8">
        <v>0.36</v>
      </c>
    </row>
    <row r="26" spans="1:12" x14ac:dyDescent="0.25">
      <c r="A26" s="1">
        <v>1622</v>
      </c>
      <c r="B26" s="1">
        <v>1</v>
      </c>
      <c r="C26" s="1">
        <v>6</v>
      </c>
      <c r="D26" s="1">
        <v>12</v>
      </c>
      <c r="E26" s="1">
        <v>314</v>
      </c>
      <c r="F26" s="1">
        <v>1626</v>
      </c>
      <c r="G26" s="6" t="s">
        <v>97</v>
      </c>
      <c r="H26" s="6" t="s">
        <v>98</v>
      </c>
      <c r="I26" s="1" t="s">
        <v>37</v>
      </c>
      <c r="J26" s="10">
        <v>215</v>
      </c>
      <c r="K26" s="7">
        <v>0.2</v>
      </c>
      <c r="L26" s="8">
        <v>0.36</v>
      </c>
    </row>
    <row r="27" spans="1:12" x14ac:dyDescent="0.25">
      <c r="A27" s="1">
        <v>1622</v>
      </c>
      <c r="B27" s="1">
        <v>1</v>
      </c>
      <c r="C27" s="1">
        <v>6</v>
      </c>
      <c r="D27" s="1">
        <v>12</v>
      </c>
      <c r="E27" s="1">
        <v>314</v>
      </c>
      <c r="F27" s="1">
        <v>1626</v>
      </c>
      <c r="G27" s="6" t="s">
        <v>99</v>
      </c>
      <c r="H27" s="6" t="s">
        <v>100</v>
      </c>
      <c r="I27" s="1" t="s">
        <v>37</v>
      </c>
      <c r="J27" s="10">
        <v>0</v>
      </c>
      <c r="K27" s="7">
        <v>0.31359999999999999</v>
      </c>
      <c r="L27" s="8">
        <v>0.36</v>
      </c>
    </row>
    <row r="28" spans="1:12" x14ac:dyDescent="0.25">
      <c r="A28" s="1">
        <v>1622</v>
      </c>
      <c r="B28" s="1">
        <v>1</v>
      </c>
      <c r="C28" s="1">
        <v>6</v>
      </c>
      <c r="D28" s="1">
        <v>12</v>
      </c>
      <c r="E28" s="1">
        <v>314</v>
      </c>
      <c r="F28" s="1">
        <v>1626</v>
      </c>
      <c r="G28" s="6" t="s">
        <v>101</v>
      </c>
      <c r="H28" s="6" t="s">
        <v>102</v>
      </c>
      <c r="I28" s="1" t="s">
        <v>37</v>
      </c>
      <c r="J28" s="10">
        <v>492</v>
      </c>
      <c r="K28" s="7">
        <v>0.20069999999999999</v>
      </c>
      <c r="L28" s="8">
        <v>0.35960000000000003</v>
      </c>
    </row>
    <row r="29" spans="1:12" x14ac:dyDescent="0.25">
      <c r="A29" s="1">
        <v>1622</v>
      </c>
      <c r="B29" s="1">
        <v>1</v>
      </c>
      <c r="C29" s="1">
        <v>6</v>
      </c>
      <c r="D29" s="1">
        <v>12</v>
      </c>
      <c r="E29" s="1">
        <v>314</v>
      </c>
      <c r="F29" s="1">
        <v>1626</v>
      </c>
      <c r="G29" s="6" t="s">
        <v>103</v>
      </c>
      <c r="H29" s="6" t="s">
        <v>104</v>
      </c>
      <c r="I29" s="1" t="s">
        <v>37</v>
      </c>
      <c r="J29" s="10">
        <v>507</v>
      </c>
      <c r="K29" s="7">
        <v>0.20069999999999999</v>
      </c>
      <c r="L29" s="8">
        <v>0.36</v>
      </c>
    </row>
    <row r="30" spans="1:12" x14ac:dyDescent="0.25">
      <c r="A30" s="1">
        <v>1622</v>
      </c>
      <c r="B30" s="1">
        <v>1</v>
      </c>
      <c r="C30" s="1">
        <v>6</v>
      </c>
      <c r="D30" s="1">
        <v>12</v>
      </c>
      <c r="E30" s="1">
        <v>314</v>
      </c>
      <c r="F30" s="1">
        <v>1626</v>
      </c>
      <c r="G30" s="6" t="s">
        <v>105</v>
      </c>
      <c r="H30" s="6" t="s">
        <v>106</v>
      </c>
      <c r="I30" s="1" t="s">
        <v>37</v>
      </c>
      <c r="J30" s="10">
        <v>117</v>
      </c>
      <c r="K30" s="7">
        <v>0.19989999999999999</v>
      </c>
      <c r="L30" s="8">
        <v>0.36</v>
      </c>
    </row>
    <row r="31" spans="1:12" x14ac:dyDescent="0.25">
      <c r="A31" s="1">
        <v>1622</v>
      </c>
      <c r="B31" s="1">
        <v>1</v>
      </c>
      <c r="C31" s="1">
        <v>6</v>
      </c>
      <c r="D31" s="1">
        <v>12</v>
      </c>
      <c r="E31" s="1">
        <v>314</v>
      </c>
      <c r="F31" s="1">
        <v>1626</v>
      </c>
      <c r="G31" s="6" t="s">
        <v>107</v>
      </c>
      <c r="H31" s="6" t="s">
        <v>108</v>
      </c>
      <c r="I31" s="1" t="s">
        <v>37</v>
      </c>
      <c r="J31" s="10">
        <v>315</v>
      </c>
      <c r="K31" s="7">
        <v>0.20069999999999999</v>
      </c>
      <c r="L31" s="8">
        <v>0.27189999999999998</v>
      </c>
    </row>
    <row r="32" spans="1:12" x14ac:dyDescent="0.25">
      <c r="A32" s="1">
        <v>1622</v>
      </c>
      <c r="B32" s="1">
        <v>1</v>
      </c>
      <c r="C32" s="1">
        <v>6</v>
      </c>
      <c r="D32" s="1">
        <v>12</v>
      </c>
      <c r="E32" s="1">
        <v>314</v>
      </c>
      <c r="F32" s="1">
        <v>1626</v>
      </c>
      <c r="G32" s="6" t="s">
        <v>109</v>
      </c>
      <c r="H32" s="6" t="s">
        <v>110</v>
      </c>
      <c r="I32" s="1" t="s">
        <v>37</v>
      </c>
      <c r="J32" s="10">
        <v>270</v>
      </c>
      <c r="K32" s="7">
        <v>0.31359999999999999</v>
      </c>
      <c r="L32" s="8">
        <v>0.45</v>
      </c>
    </row>
    <row r="33" spans="1:12" x14ac:dyDescent="0.25">
      <c r="A33" s="1">
        <v>1622</v>
      </c>
      <c r="B33" s="1">
        <v>1</v>
      </c>
      <c r="C33" s="1">
        <v>6</v>
      </c>
      <c r="D33" s="1">
        <v>12</v>
      </c>
      <c r="E33" s="1">
        <v>314</v>
      </c>
      <c r="F33" s="1">
        <v>1626</v>
      </c>
      <c r="G33" s="6" t="s">
        <v>111</v>
      </c>
      <c r="H33" s="6" t="s">
        <v>112</v>
      </c>
      <c r="I33" s="1" t="s">
        <v>37</v>
      </c>
      <c r="J33" s="10">
        <v>2065</v>
      </c>
      <c r="K33" s="7">
        <v>0.15</v>
      </c>
      <c r="L33" s="8">
        <v>1.34</v>
      </c>
    </row>
    <row r="34" spans="1:12" x14ac:dyDescent="0.25">
      <c r="A34" s="1">
        <v>1622</v>
      </c>
      <c r="B34" s="1">
        <v>1</v>
      </c>
      <c r="C34" s="1">
        <v>6</v>
      </c>
      <c r="D34" s="1">
        <v>12</v>
      </c>
      <c r="E34" s="1">
        <v>314</v>
      </c>
      <c r="F34" s="1">
        <v>1626</v>
      </c>
      <c r="G34" s="1" t="s">
        <v>113</v>
      </c>
      <c r="H34" s="1" t="s">
        <v>114</v>
      </c>
      <c r="J34" s="10">
        <v>9080</v>
      </c>
      <c r="K34" s="1">
        <v>0.14000000000000001</v>
      </c>
      <c r="L34" s="8">
        <v>0.36</v>
      </c>
    </row>
    <row r="35" spans="1:12" x14ac:dyDescent="0.25">
      <c r="A35" s="1">
        <v>1622</v>
      </c>
      <c r="B35" s="1">
        <v>1</v>
      </c>
      <c r="C35" s="1">
        <v>6</v>
      </c>
      <c r="D35" s="1">
        <v>12</v>
      </c>
      <c r="E35" s="1">
        <v>314</v>
      </c>
      <c r="F35" s="1">
        <v>1626</v>
      </c>
      <c r="G35" s="1" t="s">
        <v>115</v>
      </c>
      <c r="H35" s="1" t="s">
        <v>116</v>
      </c>
      <c r="J35" s="10">
        <v>324</v>
      </c>
      <c r="K35" s="1">
        <v>0.31359999999999999</v>
      </c>
      <c r="L35" s="8">
        <v>0.36</v>
      </c>
    </row>
    <row r="36" spans="1:12" x14ac:dyDescent="0.25">
      <c r="A36" s="1">
        <v>1622</v>
      </c>
      <c r="B36" s="1">
        <v>1</v>
      </c>
      <c r="C36" s="1">
        <v>6</v>
      </c>
      <c r="D36" s="1">
        <v>12</v>
      </c>
      <c r="E36" s="1">
        <v>314</v>
      </c>
      <c r="F36" s="1">
        <v>1626</v>
      </c>
      <c r="G36" s="1" t="s">
        <v>117</v>
      </c>
      <c r="H36" s="1" t="s">
        <v>118</v>
      </c>
      <c r="J36" s="10">
        <v>200</v>
      </c>
      <c r="K36" s="1">
        <v>0.31359999999999999</v>
      </c>
      <c r="L36" s="8">
        <v>0.36</v>
      </c>
    </row>
    <row r="37" spans="1:12" x14ac:dyDescent="0.25">
      <c r="A37" s="1">
        <v>1622</v>
      </c>
      <c r="B37" s="1">
        <v>1</v>
      </c>
      <c r="C37" s="1">
        <v>6</v>
      </c>
      <c r="D37" s="1">
        <v>12</v>
      </c>
      <c r="E37" s="1">
        <v>314</v>
      </c>
      <c r="F37" s="1">
        <v>1626</v>
      </c>
      <c r="G37" s="1" t="s">
        <v>119</v>
      </c>
      <c r="H37" s="1" t="s">
        <v>120</v>
      </c>
      <c r="J37" s="10"/>
      <c r="K37" s="1">
        <v>0.20069999999999999</v>
      </c>
      <c r="L37" s="8">
        <v>0.44640000000000002</v>
      </c>
    </row>
    <row r="38" spans="1:12" x14ac:dyDescent="0.25">
      <c r="A38" s="1">
        <v>1622</v>
      </c>
      <c r="B38" s="1">
        <v>1</v>
      </c>
      <c r="C38" s="1">
        <v>6</v>
      </c>
      <c r="D38" s="1">
        <v>12</v>
      </c>
      <c r="E38" s="1">
        <v>314</v>
      </c>
      <c r="F38" s="1">
        <v>1626</v>
      </c>
      <c r="G38" s="1" t="s">
        <v>121</v>
      </c>
      <c r="H38" s="1" t="s">
        <v>122</v>
      </c>
      <c r="J38" s="10"/>
      <c r="K38" s="1">
        <v>0.31359999999999999</v>
      </c>
      <c r="L38" s="8">
        <v>0.36</v>
      </c>
    </row>
    <row r="39" spans="1:12" x14ac:dyDescent="0.25">
      <c r="A39" s="1">
        <v>1622</v>
      </c>
      <c r="B39" s="1">
        <v>1</v>
      </c>
      <c r="C39" s="1">
        <v>6</v>
      </c>
      <c r="D39" s="1">
        <v>12</v>
      </c>
      <c r="E39" s="1">
        <v>314</v>
      </c>
      <c r="F39" s="1">
        <v>1626</v>
      </c>
      <c r="G39" s="1" t="s">
        <v>123</v>
      </c>
      <c r="H39" s="1" t="s">
        <v>124</v>
      </c>
      <c r="J39" s="10">
        <v>50</v>
      </c>
      <c r="K39" s="1">
        <v>0.20069999999999999</v>
      </c>
      <c r="L39" s="8">
        <v>0.45</v>
      </c>
    </row>
    <row r="40" spans="1:12" x14ac:dyDescent="0.25">
      <c r="A40" s="1">
        <v>1622</v>
      </c>
      <c r="B40" s="1">
        <v>1</v>
      </c>
      <c r="C40" s="1">
        <v>6</v>
      </c>
      <c r="D40" s="1">
        <v>12</v>
      </c>
      <c r="E40" s="1">
        <v>314</v>
      </c>
      <c r="F40" s="1">
        <v>1626</v>
      </c>
      <c r="G40" s="1" t="s">
        <v>125</v>
      </c>
      <c r="H40" s="1" t="s">
        <v>126</v>
      </c>
      <c r="J40" s="10">
        <v>13</v>
      </c>
      <c r="K40" s="1">
        <v>0.20069999999999999</v>
      </c>
      <c r="L40" s="8">
        <v>0.19</v>
      </c>
    </row>
    <row r="41" spans="1:12" x14ac:dyDescent="0.25">
      <c r="A41" s="1">
        <v>1622</v>
      </c>
      <c r="B41" s="1">
        <v>1</v>
      </c>
      <c r="C41" s="1">
        <v>6</v>
      </c>
      <c r="D41" s="1">
        <v>12</v>
      </c>
      <c r="E41" s="1">
        <v>314</v>
      </c>
      <c r="F41" s="1">
        <v>1626</v>
      </c>
      <c r="G41" s="1" t="s">
        <v>127</v>
      </c>
      <c r="H41" s="1" t="s">
        <v>128</v>
      </c>
      <c r="J41" s="10">
        <v>19</v>
      </c>
      <c r="K41" s="1">
        <v>0.20069999999999999</v>
      </c>
      <c r="L41" s="8">
        <v>0.27</v>
      </c>
    </row>
    <row r="42" spans="1:12" x14ac:dyDescent="0.25">
      <c r="A42" s="1">
        <v>1622</v>
      </c>
      <c r="B42" s="1">
        <v>1</v>
      </c>
      <c r="C42" s="1">
        <v>6</v>
      </c>
      <c r="D42" s="1">
        <v>12</v>
      </c>
      <c r="E42" s="1">
        <v>314</v>
      </c>
      <c r="F42" s="1">
        <v>1626</v>
      </c>
      <c r="G42" s="1" t="s">
        <v>129</v>
      </c>
      <c r="H42" s="1" t="s">
        <v>130</v>
      </c>
      <c r="J42" s="10">
        <v>44</v>
      </c>
      <c r="K42" s="1">
        <v>0.20069999999999999</v>
      </c>
      <c r="L42" s="8">
        <v>0.45</v>
      </c>
    </row>
    <row r="43" spans="1:12" x14ac:dyDescent="0.25">
      <c r="A43" s="1">
        <v>1622</v>
      </c>
      <c r="B43" s="1">
        <v>1</v>
      </c>
      <c r="C43" s="1">
        <v>6</v>
      </c>
      <c r="D43" s="1">
        <v>12</v>
      </c>
      <c r="E43" s="1">
        <v>314</v>
      </c>
      <c r="F43" s="1">
        <v>1626</v>
      </c>
      <c r="G43" s="1" t="s">
        <v>131</v>
      </c>
      <c r="H43" s="1" t="s">
        <v>132</v>
      </c>
      <c r="J43" s="10">
        <v>54</v>
      </c>
      <c r="K43" s="1">
        <v>0.32</v>
      </c>
      <c r="L43" s="8">
        <v>0.45</v>
      </c>
    </row>
    <row r="44" spans="1:12" x14ac:dyDescent="0.25">
      <c r="A44" s="1">
        <v>1622</v>
      </c>
      <c r="B44" s="1">
        <v>1</v>
      </c>
      <c r="C44" s="1">
        <v>6</v>
      </c>
      <c r="D44" s="1">
        <v>12</v>
      </c>
      <c r="E44" s="1">
        <v>314</v>
      </c>
      <c r="F44" s="1">
        <v>1626</v>
      </c>
      <c r="G44" s="1" t="s">
        <v>133</v>
      </c>
      <c r="H44" s="1" t="s">
        <v>134</v>
      </c>
      <c r="J44" s="10">
        <v>267</v>
      </c>
      <c r="K44" s="1">
        <v>0.20069999999999999</v>
      </c>
      <c r="L44" s="8">
        <v>0.27189999999999998</v>
      </c>
    </row>
    <row r="45" spans="1:12" x14ac:dyDescent="0.25">
      <c r="A45" s="1">
        <v>1622</v>
      </c>
      <c r="B45" s="1">
        <v>1</v>
      </c>
      <c r="C45" s="1">
        <v>6</v>
      </c>
      <c r="D45" s="1">
        <v>12</v>
      </c>
      <c r="E45" s="1">
        <v>314</v>
      </c>
      <c r="F45" s="1">
        <v>1626</v>
      </c>
      <c r="G45" s="1" t="s">
        <v>135</v>
      </c>
      <c r="H45" s="1" t="s">
        <v>136</v>
      </c>
      <c r="J45" s="10">
        <v>185</v>
      </c>
      <c r="K45" s="1">
        <v>0.31359999999999999</v>
      </c>
      <c r="L45" s="8">
        <v>0.36</v>
      </c>
    </row>
    <row r="46" spans="1:12" x14ac:dyDescent="0.25">
      <c r="A46" s="1">
        <v>1622</v>
      </c>
      <c r="B46" s="1">
        <v>1</v>
      </c>
      <c r="C46" s="1">
        <v>6</v>
      </c>
      <c r="D46" s="1">
        <v>12</v>
      </c>
      <c r="E46" s="1">
        <v>314</v>
      </c>
      <c r="F46" s="1">
        <v>1626</v>
      </c>
      <c r="G46" s="1" t="s">
        <v>137</v>
      </c>
      <c r="H46" s="1" t="s">
        <v>138</v>
      </c>
      <c r="J46" s="10">
        <v>205</v>
      </c>
      <c r="K46" s="1">
        <v>0.20069999999999999</v>
      </c>
      <c r="L46" s="8">
        <v>0.45</v>
      </c>
    </row>
    <row r="47" spans="1:12" x14ac:dyDescent="0.25">
      <c r="A47" s="1">
        <v>1622</v>
      </c>
      <c r="B47" s="1">
        <v>1</v>
      </c>
      <c r="C47" s="1">
        <v>6</v>
      </c>
      <c r="D47" s="1">
        <v>12</v>
      </c>
      <c r="E47" s="1">
        <v>314</v>
      </c>
      <c r="F47" s="1">
        <v>1626</v>
      </c>
      <c r="G47" s="1" t="s">
        <v>139</v>
      </c>
      <c r="H47" s="1" t="s">
        <v>140</v>
      </c>
      <c r="J47" s="10">
        <v>69</v>
      </c>
      <c r="K47" s="1">
        <v>0.31359999999999999</v>
      </c>
      <c r="L47" s="8">
        <v>0.36</v>
      </c>
    </row>
    <row r="48" spans="1:12" x14ac:dyDescent="0.25">
      <c r="A48" s="1">
        <v>1622</v>
      </c>
      <c r="B48" s="1">
        <v>1</v>
      </c>
      <c r="C48" s="1">
        <v>6</v>
      </c>
      <c r="D48" s="1">
        <v>12</v>
      </c>
      <c r="E48" s="1">
        <v>314</v>
      </c>
      <c r="F48" s="1">
        <v>1626</v>
      </c>
      <c r="G48" s="1" t="s">
        <v>141</v>
      </c>
      <c r="H48" s="1" t="s">
        <v>142</v>
      </c>
      <c r="J48" s="10">
        <v>2</v>
      </c>
      <c r="K48" s="1">
        <v>0.20069999999999999</v>
      </c>
      <c r="L48" s="8">
        <v>0.36</v>
      </c>
    </row>
    <row r="49" spans="1:12" x14ac:dyDescent="0.25">
      <c r="A49" s="1">
        <v>1622</v>
      </c>
      <c r="B49" s="1">
        <v>1</v>
      </c>
      <c r="C49" s="1">
        <v>6</v>
      </c>
      <c r="D49" s="1">
        <v>12</v>
      </c>
      <c r="E49" s="1">
        <v>314</v>
      </c>
      <c r="F49" s="1">
        <v>1626</v>
      </c>
      <c r="G49" s="1" t="s">
        <v>143</v>
      </c>
      <c r="H49" s="1" t="s">
        <v>144</v>
      </c>
      <c r="J49" s="10">
        <v>3</v>
      </c>
      <c r="K49" s="1">
        <v>0.13700000000000001</v>
      </c>
      <c r="L49" s="8">
        <v>0.36</v>
      </c>
    </row>
    <row r="50" spans="1:12" x14ac:dyDescent="0.25">
      <c r="A50" s="1">
        <v>1622</v>
      </c>
      <c r="B50" s="1">
        <v>1</v>
      </c>
      <c r="C50" s="1">
        <v>6</v>
      </c>
      <c r="D50" s="1">
        <v>12</v>
      </c>
      <c r="E50" s="1">
        <v>314</v>
      </c>
      <c r="F50" s="1">
        <v>1626</v>
      </c>
      <c r="G50" s="1" t="s">
        <v>145</v>
      </c>
      <c r="H50" s="1" t="s">
        <v>146</v>
      </c>
      <c r="J50" s="10">
        <v>4</v>
      </c>
      <c r="K50" s="1">
        <v>0.13700000000000001</v>
      </c>
      <c r="L50" s="8">
        <v>0.36</v>
      </c>
    </row>
    <row r="51" spans="1:12" x14ac:dyDescent="0.25">
      <c r="A51" s="1">
        <v>1622</v>
      </c>
      <c r="B51" s="1">
        <v>1</v>
      </c>
      <c r="C51" s="1">
        <v>6</v>
      </c>
      <c r="D51" s="1">
        <v>12</v>
      </c>
      <c r="E51" s="1">
        <v>314</v>
      </c>
      <c r="F51" s="1">
        <v>1626</v>
      </c>
      <c r="G51" s="1" t="s">
        <v>147</v>
      </c>
      <c r="H51" s="1" t="s">
        <v>148</v>
      </c>
      <c r="J51" s="10">
        <v>6</v>
      </c>
      <c r="K51" s="1">
        <v>0.20069999999999999</v>
      </c>
      <c r="L51" s="8">
        <v>0.36</v>
      </c>
    </row>
    <row r="52" spans="1:12" x14ac:dyDescent="0.25">
      <c r="A52" s="1">
        <v>1622</v>
      </c>
      <c r="B52" s="1">
        <v>1</v>
      </c>
      <c r="C52" s="1">
        <v>6</v>
      </c>
      <c r="D52" s="1">
        <v>12</v>
      </c>
      <c r="E52" s="1">
        <v>314</v>
      </c>
      <c r="F52" s="1">
        <v>1626</v>
      </c>
      <c r="G52" s="1" t="s">
        <v>149</v>
      </c>
      <c r="H52" s="1" t="s">
        <v>150</v>
      </c>
      <c r="J52" s="10">
        <v>214</v>
      </c>
      <c r="K52" s="1">
        <v>0.31359999999999999</v>
      </c>
      <c r="L52" s="8">
        <v>0.66959999999999997</v>
      </c>
    </row>
    <row r="53" spans="1:12" x14ac:dyDescent="0.25">
      <c r="A53" s="1">
        <v>1622</v>
      </c>
      <c r="B53" s="1">
        <v>1</v>
      </c>
      <c r="C53" s="1">
        <v>6</v>
      </c>
      <c r="D53" s="1">
        <v>12</v>
      </c>
      <c r="E53" s="1">
        <v>314</v>
      </c>
      <c r="F53" s="1">
        <v>1626</v>
      </c>
      <c r="G53" s="1" t="s">
        <v>151</v>
      </c>
      <c r="H53" s="1" t="s">
        <v>152</v>
      </c>
      <c r="J53" s="10">
        <v>30</v>
      </c>
      <c r="K53" s="1">
        <v>2</v>
      </c>
      <c r="L53" s="8">
        <v>0.44640000000000002</v>
      </c>
    </row>
    <row r="54" spans="1:12" x14ac:dyDescent="0.25">
      <c r="A54" s="1">
        <v>1622</v>
      </c>
      <c r="B54" s="1">
        <v>1</v>
      </c>
      <c r="C54" s="1">
        <v>6</v>
      </c>
      <c r="D54" s="1">
        <v>12</v>
      </c>
      <c r="E54" s="1">
        <v>314</v>
      </c>
      <c r="F54" s="1">
        <v>1626</v>
      </c>
      <c r="G54" s="1" t="s">
        <v>153</v>
      </c>
      <c r="H54" s="1" t="s">
        <v>154</v>
      </c>
      <c r="J54" s="10">
        <v>460</v>
      </c>
      <c r="K54" s="1">
        <v>0.20069999999999999</v>
      </c>
      <c r="L54" s="8">
        <v>0.44640000000000002</v>
      </c>
    </row>
    <row r="55" spans="1:12" x14ac:dyDescent="0.25">
      <c r="A55" s="1">
        <v>1622</v>
      </c>
      <c r="B55" s="1">
        <v>1</v>
      </c>
      <c r="C55" s="1">
        <v>6</v>
      </c>
      <c r="D55" s="1">
        <v>12</v>
      </c>
      <c r="E55" s="1">
        <v>314</v>
      </c>
      <c r="F55" s="1">
        <v>1626</v>
      </c>
      <c r="G55" s="1" t="s">
        <v>155</v>
      </c>
      <c r="H55" s="1" t="s">
        <v>156</v>
      </c>
      <c r="J55" s="10">
        <v>250</v>
      </c>
      <c r="K55" s="1">
        <v>0.31359999999999999</v>
      </c>
      <c r="L55" s="8">
        <v>0.36</v>
      </c>
    </row>
    <row r="56" spans="1:12" x14ac:dyDescent="0.25">
      <c r="A56" s="1">
        <v>1622</v>
      </c>
      <c r="B56" s="1">
        <v>1</v>
      </c>
      <c r="C56" s="1">
        <v>6</v>
      </c>
      <c r="D56" s="1">
        <v>12</v>
      </c>
      <c r="E56" s="1">
        <v>314</v>
      </c>
      <c r="F56" s="1">
        <v>1626</v>
      </c>
      <c r="G56" s="1" t="s">
        <v>157</v>
      </c>
      <c r="H56" s="1" t="s">
        <v>158</v>
      </c>
      <c r="J56" s="10">
        <v>479</v>
      </c>
      <c r="K56" s="1">
        <v>0.20069999999999999</v>
      </c>
      <c r="L56" s="8">
        <v>0.45</v>
      </c>
    </row>
    <row r="57" spans="1:12" x14ac:dyDescent="0.25">
      <c r="A57" s="1">
        <v>1622</v>
      </c>
      <c r="B57" s="1">
        <v>1</v>
      </c>
      <c r="C57" s="1">
        <v>6</v>
      </c>
      <c r="D57" s="1">
        <v>12</v>
      </c>
      <c r="E57" s="1">
        <v>314</v>
      </c>
      <c r="F57" s="1">
        <v>1626</v>
      </c>
      <c r="G57" s="1" t="s">
        <v>159</v>
      </c>
      <c r="H57" s="1" t="s">
        <v>160</v>
      </c>
      <c r="J57" s="10">
        <v>250</v>
      </c>
      <c r="K57" s="1">
        <v>0.31359999999999999</v>
      </c>
      <c r="L57" s="8">
        <v>0.36</v>
      </c>
    </row>
    <row r="58" spans="1:12" x14ac:dyDescent="0.25">
      <c r="A58" s="1">
        <v>1622</v>
      </c>
      <c r="B58" s="1">
        <v>1</v>
      </c>
      <c r="C58" s="1">
        <v>6</v>
      </c>
      <c r="D58" s="1">
        <v>12</v>
      </c>
      <c r="E58" s="1">
        <v>314</v>
      </c>
      <c r="F58" s="1">
        <v>1626</v>
      </c>
      <c r="G58" s="1" t="s">
        <v>161</v>
      </c>
      <c r="H58" s="1" t="s">
        <v>162</v>
      </c>
      <c r="J58" s="10">
        <v>156</v>
      </c>
      <c r="K58" s="1">
        <v>0.20069999999999999</v>
      </c>
      <c r="L58" s="8">
        <v>0.45</v>
      </c>
    </row>
    <row r="59" spans="1:12" x14ac:dyDescent="0.25">
      <c r="A59" s="1">
        <v>1622</v>
      </c>
      <c r="B59" s="1">
        <v>1</v>
      </c>
      <c r="C59" s="1">
        <v>6</v>
      </c>
      <c r="D59" s="1">
        <v>12</v>
      </c>
      <c r="E59" s="1">
        <v>314</v>
      </c>
      <c r="F59" s="1">
        <v>1626</v>
      </c>
      <c r="G59" s="1" t="s">
        <v>163</v>
      </c>
      <c r="H59" s="1" t="s">
        <v>164</v>
      </c>
      <c r="J59" s="10">
        <v>275</v>
      </c>
      <c r="K59" s="1">
        <v>0.31359999999999999</v>
      </c>
      <c r="L59" s="8">
        <v>0.36</v>
      </c>
    </row>
    <row r="60" spans="1:12" x14ac:dyDescent="0.25">
      <c r="A60" s="1">
        <v>1622</v>
      </c>
      <c r="B60" s="1">
        <v>1</v>
      </c>
      <c r="C60" s="1">
        <v>6</v>
      </c>
      <c r="D60" s="1">
        <v>12</v>
      </c>
      <c r="E60" s="1">
        <v>314</v>
      </c>
      <c r="F60" s="1">
        <v>1626</v>
      </c>
      <c r="G60" s="1" t="s">
        <v>165</v>
      </c>
      <c r="H60" s="1" t="s">
        <v>166</v>
      </c>
      <c r="J60" s="10">
        <v>98</v>
      </c>
      <c r="K60" s="1">
        <v>0.31359999999999999</v>
      </c>
      <c r="L60" s="8">
        <v>0.44640000000000002</v>
      </c>
    </row>
    <row r="61" spans="1:12" x14ac:dyDescent="0.25">
      <c r="A61" s="1">
        <v>1622</v>
      </c>
      <c r="B61" s="1">
        <v>1</v>
      </c>
      <c r="C61" s="1">
        <v>6</v>
      </c>
      <c r="D61" s="1">
        <v>12</v>
      </c>
      <c r="E61" s="1">
        <v>314</v>
      </c>
      <c r="F61" s="1">
        <v>1626</v>
      </c>
      <c r="G61" s="1" t="s">
        <v>167</v>
      </c>
      <c r="H61" s="1" t="s">
        <v>168</v>
      </c>
      <c r="J61" s="10">
        <v>80</v>
      </c>
      <c r="K61" s="1">
        <v>0.31359999999999999</v>
      </c>
      <c r="L61" s="8">
        <v>0.26779999999999998</v>
      </c>
    </row>
    <row r="62" spans="1:12" x14ac:dyDescent="0.25">
      <c r="A62" s="1">
        <v>1622</v>
      </c>
      <c r="B62" s="1">
        <v>1</v>
      </c>
      <c r="C62" s="1">
        <v>6</v>
      </c>
      <c r="D62" s="1">
        <v>12</v>
      </c>
      <c r="E62" s="1">
        <v>314</v>
      </c>
      <c r="F62" s="1">
        <v>1626</v>
      </c>
      <c r="G62" s="1" t="s">
        <v>169</v>
      </c>
      <c r="H62" s="1" t="s">
        <v>170</v>
      </c>
      <c r="J62" s="10">
        <v>56</v>
      </c>
      <c r="K62" s="1">
        <v>0.20069999999999999</v>
      </c>
      <c r="L62" s="8">
        <v>0.26779999999999998</v>
      </c>
    </row>
    <row r="63" spans="1:12" x14ac:dyDescent="0.25">
      <c r="A63" s="1">
        <v>1622</v>
      </c>
      <c r="B63" s="1">
        <v>1</v>
      </c>
      <c r="C63" s="1">
        <v>6</v>
      </c>
      <c r="D63" s="1">
        <v>12</v>
      </c>
      <c r="E63" s="1">
        <v>314</v>
      </c>
      <c r="F63" s="1">
        <v>1626</v>
      </c>
      <c r="G63" s="1" t="s">
        <v>171</v>
      </c>
      <c r="H63" s="1" t="s">
        <v>172</v>
      </c>
      <c r="J63" s="10">
        <v>20</v>
      </c>
      <c r="K63" s="1">
        <v>0.31359999999999999</v>
      </c>
      <c r="L63" s="8">
        <v>0.27189999999999998</v>
      </c>
    </row>
    <row r="64" spans="1:12" x14ac:dyDescent="0.25">
      <c r="A64" s="1">
        <v>1622</v>
      </c>
      <c r="B64" s="1">
        <v>1</v>
      </c>
      <c r="C64" s="1">
        <v>6</v>
      </c>
      <c r="D64" s="1">
        <v>12</v>
      </c>
      <c r="E64" s="1">
        <v>314</v>
      </c>
      <c r="F64" s="1">
        <v>1626</v>
      </c>
      <c r="G64" s="1" t="s">
        <v>173</v>
      </c>
      <c r="H64" s="1" t="s">
        <v>174</v>
      </c>
      <c r="J64" s="10">
        <v>3</v>
      </c>
      <c r="K64" s="1">
        <v>0.13700000000000001</v>
      </c>
      <c r="L64" s="8">
        <v>0.36</v>
      </c>
    </row>
    <row r="65" spans="1:12" x14ac:dyDescent="0.25">
      <c r="A65" s="1">
        <v>1622</v>
      </c>
      <c r="B65" s="1">
        <v>1</v>
      </c>
      <c r="C65" s="1">
        <v>6</v>
      </c>
      <c r="D65" s="1">
        <v>12</v>
      </c>
      <c r="E65" s="1">
        <v>314</v>
      </c>
      <c r="F65" s="1">
        <v>1626</v>
      </c>
      <c r="G65" s="1" t="s">
        <v>175</v>
      </c>
      <c r="H65" s="1" t="s">
        <v>176</v>
      </c>
      <c r="J65" s="10">
        <v>1</v>
      </c>
      <c r="K65" s="1">
        <v>0.20069999999999999</v>
      </c>
      <c r="L65" s="8">
        <v>0.45</v>
      </c>
    </row>
    <row r="66" spans="1:12" x14ac:dyDescent="0.25">
      <c r="A66" s="1">
        <v>1622</v>
      </c>
      <c r="B66" s="1">
        <v>1</v>
      </c>
      <c r="C66" s="1">
        <v>6</v>
      </c>
      <c r="D66" s="1">
        <v>12</v>
      </c>
      <c r="E66" s="1">
        <v>314</v>
      </c>
      <c r="F66" s="1">
        <v>1626</v>
      </c>
      <c r="G66" s="1" t="s">
        <v>177</v>
      </c>
      <c r="H66" s="1" t="s">
        <v>178</v>
      </c>
      <c r="J66" s="10">
        <v>3551</v>
      </c>
      <c r="K66" s="1">
        <v>0.13700000000000001</v>
      </c>
      <c r="L66" s="8">
        <v>2.23</v>
      </c>
    </row>
    <row r="67" spans="1:12" x14ac:dyDescent="0.25">
      <c r="A67" s="1">
        <v>1622</v>
      </c>
      <c r="B67" s="1">
        <v>1</v>
      </c>
      <c r="C67" s="1">
        <v>6</v>
      </c>
      <c r="D67" s="1">
        <v>12</v>
      </c>
      <c r="E67" s="1">
        <v>314</v>
      </c>
      <c r="F67" s="1">
        <v>1626</v>
      </c>
      <c r="G67" s="1" t="s">
        <v>179</v>
      </c>
      <c r="H67" s="1" t="s">
        <v>180</v>
      </c>
      <c r="J67" s="10">
        <v>678</v>
      </c>
      <c r="K67" s="1">
        <v>0.20069999999999999</v>
      </c>
      <c r="L67" s="8">
        <v>0.44640000000000002</v>
      </c>
    </row>
    <row r="68" spans="1:12" x14ac:dyDescent="0.25">
      <c r="A68" s="1">
        <v>1622</v>
      </c>
      <c r="B68" s="1">
        <v>1</v>
      </c>
      <c r="C68" s="1">
        <v>6</v>
      </c>
      <c r="D68" s="1">
        <v>12</v>
      </c>
      <c r="E68" s="1">
        <v>314</v>
      </c>
      <c r="F68" s="1">
        <v>1626</v>
      </c>
      <c r="G68" s="1" t="s">
        <v>181</v>
      </c>
      <c r="H68" s="1" t="s">
        <v>182</v>
      </c>
      <c r="J68" s="10">
        <v>29</v>
      </c>
      <c r="K68" s="1">
        <v>0.31359999999999999</v>
      </c>
      <c r="L68" s="8">
        <v>0.35960000000000003</v>
      </c>
    </row>
    <row r="69" spans="1:12" x14ac:dyDescent="0.25">
      <c r="A69" s="1">
        <v>1622</v>
      </c>
      <c r="B69" s="1">
        <v>1</v>
      </c>
      <c r="C69" s="1">
        <v>6</v>
      </c>
      <c r="D69" s="1">
        <v>12</v>
      </c>
      <c r="E69" s="1">
        <v>314</v>
      </c>
      <c r="F69" s="1">
        <v>1626</v>
      </c>
      <c r="G69" s="1" t="s">
        <v>183</v>
      </c>
      <c r="H69" s="1" t="s">
        <v>184</v>
      </c>
      <c r="J69" s="10">
        <v>727</v>
      </c>
      <c r="K69" s="1">
        <v>0.20069999999999999</v>
      </c>
      <c r="L69" s="8">
        <v>0.45</v>
      </c>
    </row>
    <row r="70" spans="1:12" x14ac:dyDescent="0.25">
      <c r="A70" s="1">
        <v>1622</v>
      </c>
      <c r="B70" s="1">
        <v>1</v>
      </c>
      <c r="C70" s="1">
        <v>6</v>
      </c>
      <c r="D70" s="1">
        <v>12</v>
      </c>
      <c r="E70" s="1">
        <v>314</v>
      </c>
      <c r="F70" s="1">
        <v>1626</v>
      </c>
      <c r="G70" s="1" t="s">
        <v>185</v>
      </c>
      <c r="H70" s="1" t="s">
        <v>186</v>
      </c>
      <c r="J70" s="10">
        <v>112</v>
      </c>
      <c r="K70" s="1">
        <v>0.31359999999999999</v>
      </c>
      <c r="L70" s="8">
        <v>0.35960000000000003</v>
      </c>
    </row>
    <row r="71" spans="1:12" x14ac:dyDescent="0.25">
      <c r="A71" s="1">
        <v>1622</v>
      </c>
      <c r="B71" s="1">
        <v>1</v>
      </c>
      <c r="C71" s="1">
        <v>6</v>
      </c>
      <c r="D71" s="1">
        <v>12</v>
      </c>
      <c r="E71" s="1">
        <v>314</v>
      </c>
      <c r="F71" s="1">
        <v>1626</v>
      </c>
      <c r="G71" s="1" t="s">
        <v>187</v>
      </c>
      <c r="H71" s="1" t="s">
        <v>188</v>
      </c>
      <c r="J71" s="10">
        <v>50</v>
      </c>
      <c r="K71" s="1">
        <v>0.31359999999999999</v>
      </c>
      <c r="L71" s="8">
        <v>0.44640000000000002</v>
      </c>
    </row>
    <row r="72" spans="1:12" x14ac:dyDescent="0.25">
      <c r="A72" s="1">
        <v>1622</v>
      </c>
      <c r="B72" s="1">
        <v>1</v>
      </c>
      <c r="C72" s="1">
        <v>6</v>
      </c>
      <c r="D72" s="1">
        <v>12</v>
      </c>
      <c r="E72" s="1">
        <v>314</v>
      </c>
      <c r="F72" s="1">
        <v>1626</v>
      </c>
      <c r="G72" s="1" t="s">
        <v>189</v>
      </c>
      <c r="H72" s="1" t="s">
        <v>190</v>
      </c>
      <c r="J72" s="10">
        <v>1720</v>
      </c>
      <c r="K72" s="1">
        <v>0.20069999999999999</v>
      </c>
      <c r="L72" s="8">
        <v>0.35960000000000003</v>
      </c>
    </row>
    <row r="73" spans="1:12" x14ac:dyDescent="0.25">
      <c r="A73" s="1">
        <v>1622</v>
      </c>
      <c r="B73" s="1">
        <v>1</v>
      </c>
      <c r="C73" s="1">
        <v>6</v>
      </c>
      <c r="D73" s="1">
        <v>12</v>
      </c>
      <c r="E73" s="1">
        <v>314</v>
      </c>
      <c r="F73" s="1">
        <v>1626</v>
      </c>
      <c r="G73" s="1" t="s">
        <v>191</v>
      </c>
      <c r="H73" s="1" t="s">
        <v>192</v>
      </c>
      <c r="J73" s="10">
        <v>276</v>
      </c>
      <c r="K73" s="1">
        <v>0.20069999999999999</v>
      </c>
      <c r="L73" s="8">
        <v>0.45</v>
      </c>
    </row>
    <row r="74" spans="1:12" x14ac:dyDescent="0.25">
      <c r="A74" s="1">
        <v>1622</v>
      </c>
      <c r="B74" s="1">
        <v>1</v>
      </c>
      <c r="C74" s="1">
        <v>6</v>
      </c>
      <c r="D74" s="1">
        <v>12</v>
      </c>
      <c r="E74" s="1">
        <v>314</v>
      </c>
      <c r="F74" s="1">
        <v>1626</v>
      </c>
      <c r="G74" s="1" t="s">
        <v>193</v>
      </c>
      <c r="H74" s="1" t="s">
        <v>194</v>
      </c>
      <c r="J74" s="10">
        <v>356</v>
      </c>
      <c r="K74" s="1">
        <v>0.20069999999999999</v>
      </c>
      <c r="L74" s="8">
        <v>0.45</v>
      </c>
    </row>
    <row r="75" spans="1:12" x14ac:dyDescent="0.25">
      <c r="A75" s="1">
        <v>1622</v>
      </c>
      <c r="B75" s="1">
        <v>1</v>
      </c>
      <c r="C75" s="1">
        <v>6</v>
      </c>
      <c r="D75" s="1">
        <v>12</v>
      </c>
      <c r="E75" s="1">
        <v>314</v>
      </c>
      <c r="F75" s="1">
        <v>1626</v>
      </c>
      <c r="G75" s="1" t="s">
        <v>195</v>
      </c>
      <c r="H75" s="1" t="s">
        <v>196</v>
      </c>
      <c r="J75" s="10">
        <v>780</v>
      </c>
      <c r="K75" s="1">
        <v>0.20069999999999999</v>
      </c>
      <c r="L75" s="8">
        <v>0.45</v>
      </c>
    </row>
    <row r="76" spans="1:12" x14ac:dyDescent="0.25">
      <c r="A76" s="1">
        <v>1622</v>
      </c>
      <c r="B76" s="1">
        <v>1</v>
      </c>
      <c r="C76" s="1">
        <v>6</v>
      </c>
      <c r="D76" s="1">
        <v>12</v>
      </c>
      <c r="E76" s="1">
        <v>314</v>
      </c>
      <c r="F76" s="1">
        <v>1626</v>
      </c>
      <c r="G76" s="1" t="s">
        <v>197</v>
      </c>
      <c r="H76" s="1" t="s">
        <v>198</v>
      </c>
      <c r="J76" s="10">
        <v>485</v>
      </c>
      <c r="K76" s="1">
        <v>0.31359999999999999</v>
      </c>
      <c r="L76" s="8">
        <v>0.45</v>
      </c>
    </row>
    <row r="77" spans="1:12" x14ac:dyDescent="0.25">
      <c r="A77" s="1">
        <v>1622</v>
      </c>
      <c r="B77" s="1">
        <v>1</v>
      </c>
      <c r="C77" s="1">
        <v>6</v>
      </c>
      <c r="D77" s="1">
        <v>12</v>
      </c>
      <c r="E77" s="1">
        <v>314</v>
      </c>
      <c r="F77" s="1">
        <v>1626</v>
      </c>
      <c r="G77" s="1" t="s">
        <v>199</v>
      </c>
      <c r="H77" s="1" t="s">
        <v>200</v>
      </c>
      <c r="J77" s="10">
        <v>4184</v>
      </c>
      <c r="K77" s="1">
        <v>0.31359999999999999</v>
      </c>
      <c r="L77" s="8">
        <v>0.35960000000000003</v>
      </c>
    </row>
    <row r="78" spans="1:12" x14ac:dyDescent="0.25">
      <c r="A78" s="1">
        <v>1622</v>
      </c>
      <c r="B78" s="1">
        <v>1</v>
      </c>
      <c r="C78" s="1">
        <v>6</v>
      </c>
      <c r="D78" s="1">
        <v>12</v>
      </c>
      <c r="E78" s="1">
        <v>314</v>
      </c>
      <c r="F78" s="1">
        <v>1626</v>
      </c>
      <c r="G78" s="1" t="s">
        <v>201</v>
      </c>
      <c r="H78" s="1" t="s">
        <v>202</v>
      </c>
      <c r="J78" s="10">
        <v>6</v>
      </c>
      <c r="K78" s="1">
        <v>0.20069999999999999</v>
      </c>
      <c r="L78" s="8">
        <v>0.45</v>
      </c>
    </row>
    <row r="79" spans="1:12" x14ac:dyDescent="0.25">
      <c r="A79" s="1">
        <v>1622</v>
      </c>
      <c r="B79" s="1">
        <v>1</v>
      </c>
      <c r="C79" s="1">
        <v>6</v>
      </c>
      <c r="D79" s="1">
        <v>12</v>
      </c>
      <c r="E79" s="1">
        <v>314</v>
      </c>
      <c r="F79" s="1">
        <v>1626</v>
      </c>
      <c r="G79" s="1" t="s">
        <v>203</v>
      </c>
      <c r="H79" s="1" t="s">
        <v>204</v>
      </c>
      <c r="J79" s="10">
        <v>3268</v>
      </c>
      <c r="K79" s="1">
        <v>0.31359999999999999</v>
      </c>
      <c r="L79" s="8">
        <v>0.27189999999999998</v>
      </c>
    </row>
    <row r="80" spans="1:12" x14ac:dyDescent="0.25">
      <c r="A80" s="1">
        <v>1622</v>
      </c>
      <c r="B80" s="1">
        <v>1</v>
      </c>
      <c r="C80" s="1">
        <v>6</v>
      </c>
      <c r="D80" s="1">
        <v>12</v>
      </c>
      <c r="E80" s="1">
        <v>314</v>
      </c>
      <c r="F80" s="1">
        <v>1626</v>
      </c>
      <c r="G80" s="1" t="s">
        <v>205</v>
      </c>
      <c r="H80" s="1" t="s">
        <v>206</v>
      </c>
      <c r="J80" s="10"/>
      <c r="K80" s="1">
        <v>0.2</v>
      </c>
      <c r="L80" s="8">
        <v>0.35960000000000003</v>
      </c>
    </row>
    <row r="81" spans="1:12" x14ac:dyDescent="0.25">
      <c r="A81" s="1">
        <v>1622</v>
      </c>
      <c r="B81" s="1">
        <v>1</v>
      </c>
      <c r="C81" s="1">
        <v>6</v>
      </c>
      <c r="D81" s="1">
        <v>12</v>
      </c>
      <c r="E81" s="1">
        <v>314</v>
      </c>
      <c r="F81" s="1">
        <v>1626</v>
      </c>
      <c r="G81" s="1" t="s">
        <v>207</v>
      </c>
      <c r="H81" s="1" t="s">
        <v>208</v>
      </c>
      <c r="J81" s="10">
        <v>541</v>
      </c>
      <c r="K81" s="1">
        <v>0.20069999999999999</v>
      </c>
      <c r="L81" s="8">
        <v>0.26779999999999998</v>
      </c>
    </row>
    <row r="82" spans="1:12" x14ac:dyDescent="0.25">
      <c r="A82" s="1">
        <v>1622</v>
      </c>
      <c r="B82" s="1">
        <v>1</v>
      </c>
      <c r="C82" s="1">
        <v>6</v>
      </c>
      <c r="D82" s="1">
        <v>12</v>
      </c>
      <c r="E82" s="1">
        <v>314</v>
      </c>
      <c r="F82" s="1">
        <v>1626</v>
      </c>
      <c r="G82" s="1" t="s">
        <v>209</v>
      </c>
      <c r="H82" s="1" t="s">
        <v>210</v>
      </c>
      <c r="J82" s="10">
        <v>126</v>
      </c>
      <c r="K82" s="1">
        <v>0.31359999999999999</v>
      </c>
      <c r="L82" s="8">
        <v>0.27189999999999998</v>
      </c>
    </row>
    <row r="83" spans="1:12" x14ac:dyDescent="0.25">
      <c r="A83" s="1">
        <v>1622</v>
      </c>
      <c r="B83" s="1">
        <v>1</v>
      </c>
      <c r="C83" s="1">
        <v>6</v>
      </c>
      <c r="D83" s="1">
        <v>12</v>
      </c>
      <c r="E83" s="1">
        <v>314</v>
      </c>
      <c r="F83" s="1">
        <v>1626</v>
      </c>
      <c r="G83" s="1" t="s">
        <v>211</v>
      </c>
      <c r="H83" s="1" t="s">
        <v>212</v>
      </c>
      <c r="J83" s="10">
        <v>78</v>
      </c>
      <c r="K83" s="1">
        <v>0.20069999999999999</v>
      </c>
      <c r="L83" s="8">
        <v>0.35960000000000003</v>
      </c>
    </row>
    <row r="84" spans="1:12" x14ac:dyDescent="0.25">
      <c r="A84" s="1">
        <v>1622</v>
      </c>
      <c r="B84" s="1">
        <v>1</v>
      </c>
      <c r="C84" s="1">
        <v>6</v>
      </c>
      <c r="D84" s="1">
        <v>12</v>
      </c>
      <c r="E84" s="1">
        <v>314</v>
      </c>
      <c r="F84" s="1">
        <v>1626</v>
      </c>
      <c r="G84" s="1" t="s">
        <v>213</v>
      </c>
      <c r="H84" s="1" t="s">
        <v>214</v>
      </c>
      <c r="J84" s="10"/>
      <c r="K84" s="1">
        <v>0.2</v>
      </c>
      <c r="L84" s="8">
        <v>0.45</v>
      </c>
    </row>
    <row r="85" spans="1:12" x14ac:dyDescent="0.25">
      <c r="A85" s="1">
        <v>1622</v>
      </c>
      <c r="B85" s="1">
        <v>1</v>
      </c>
      <c r="C85" s="1">
        <v>6</v>
      </c>
      <c r="D85" s="1">
        <v>12</v>
      </c>
      <c r="E85" s="1">
        <v>314</v>
      </c>
      <c r="F85" s="1">
        <v>1626</v>
      </c>
      <c r="G85" s="1" t="s">
        <v>215</v>
      </c>
      <c r="H85" s="1" t="s">
        <v>216</v>
      </c>
      <c r="J85" s="10"/>
      <c r="K85" s="1">
        <v>0.31359999999999999</v>
      </c>
      <c r="L85" s="8">
        <v>0.35960000000000003</v>
      </c>
    </row>
    <row r="86" spans="1:12" x14ac:dyDescent="0.25">
      <c r="A86" s="1">
        <v>1622</v>
      </c>
      <c r="B86" s="1">
        <v>1</v>
      </c>
      <c r="C86" s="1">
        <v>6</v>
      </c>
      <c r="D86" s="1">
        <v>12</v>
      </c>
      <c r="E86" s="1">
        <v>314</v>
      </c>
      <c r="F86" s="1">
        <v>1626</v>
      </c>
      <c r="G86" s="1" t="s">
        <v>217</v>
      </c>
      <c r="H86" s="1" t="s">
        <v>218</v>
      </c>
      <c r="J86" s="10">
        <v>52</v>
      </c>
      <c r="K86" s="1">
        <v>0.31359999999999999</v>
      </c>
      <c r="L86" s="8">
        <v>0.45</v>
      </c>
    </row>
    <row r="87" spans="1:12" x14ac:dyDescent="0.25">
      <c r="A87" s="1">
        <v>1622</v>
      </c>
      <c r="B87" s="1">
        <v>1</v>
      </c>
      <c r="C87" s="1">
        <v>6</v>
      </c>
      <c r="D87" s="1">
        <v>12</v>
      </c>
      <c r="E87" s="1">
        <v>314</v>
      </c>
      <c r="F87" s="1">
        <v>1626</v>
      </c>
      <c r="G87" s="1" t="s">
        <v>219</v>
      </c>
      <c r="H87" s="1" t="s">
        <v>220</v>
      </c>
      <c r="J87" s="10">
        <v>1</v>
      </c>
      <c r="K87" s="1">
        <v>0.32</v>
      </c>
      <c r="L87" s="8">
        <v>0.45</v>
      </c>
    </row>
    <row r="88" spans="1:12" x14ac:dyDescent="0.25">
      <c r="A88" s="1">
        <v>1622</v>
      </c>
      <c r="B88" s="1">
        <v>1</v>
      </c>
      <c r="C88" s="1">
        <v>6</v>
      </c>
      <c r="D88" s="1">
        <v>12</v>
      </c>
      <c r="E88" s="1">
        <v>314</v>
      </c>
      <c r="F88" s="1">
        <v>1626</v>
      </c>
      <c r="G88" s="1" t="s">
        <v>221</v>
      </c>
      <c r="H88" s="1" t="s">
        <v>222</v>
      </c>
      <c r="J88" s="10">
        <v>829</v>
      </c>
      <c r="K88" s="1">
        <v>0.13700000000000001</v>
      </c>
      <c r="L88" s="8">
        <v>0.35960000000000003</v>
      </c>
    </row>
    <row r="89" spans="1:12" x14ac:dyDescent="0.25">
      <c r="A89" s="1">
        <v>1622</v>
      </c>
      <c r="B89" s="1">
        <v>1</v>
      </c>
      <c r="C89" s="1">
        <v>6</v>
      </c>
      <c r="D89" s="1">
        <v>12</v>
      </c>
      <c r="E89" s="1">
        <v>314</v>
      </c>
      <c r="F89" s="1">
        <v>1626</v>
      </c>
      <c r="G89" s="1" t="s">
        <v>223</v>
      </c>
      <c r="H89" s="1" t="s">
        <v>224</v>
      </c>
      <c r="J89" s="10">
        <v>1</v>
      </c>
      <c r="K89" s="1">
        <v>0.1371</v>
      </c>
      <c r="L89" s="8">
        <v>0.35960000000000003</v>
      </c>
    </row>
    <row r="90" spans="1:12" x14ac:dyDescent="0.25">
      <c r="A90" s="1">
        <v>1622</v>
      </c>
      <c r="B90" s="1">
        <v>1</v>
      </c>
      <c r="C90" s="1">
        <v>6</v>
      </c>
      <c r="D90" s="1">
        <v>12</v>
      </c>
      <c r="E90" s="1">
        <v>314</v>
      </c>
      <c r="F90" s="1">
        <v>1626</v>
      </c>
      <c r="G90" s="1" t="s">
        <v>225</v>
      </c>
      <c r="H90" s="1" t="s">
        <v>226</v>
      </c>
      <c r="J90" s="10">
        <v>8</v>
      </c>
      <c r="K90" s="1">
        <v>0.13700000000000001</v>
      </c>
      <c r="L90" s="8">
        <v>0.35960000000000003</v>
      </c>
    </row>
    <row r="91" spans="1:12" x14ac:dyDescent="0.25">
      <c r="A91" s="1">
        <v>1622</v>
      </c>
      <c r="B91" s="1">
        <v>1</v>
      </c>
      <c r="C91" s="1">
        <v>6</v>
      </c>
      <c r="D91" s="1">
        <v>12</v>
      </c>
      <c r="E91" s="1">
        <v>314</v>
      </c>
      <c r="F91" s="1">
        <v>1626</v>
      </c>
      <c r="G91" s="1" t="s">
        <v>227</v>
      </c>
      <c r="H91" s="1" t="s">
        <v>228</v>
      </c>
      <c r="J91" s="10">
        <v>3</v>
      </c>
      <c r="K91" s="1">
        <v>0.14000000000000001</v>
      </c>
      <c r="L91" s="8">
        <v>0.35960000000000003</v>
      </c>
    </row>
    <row r="92" spans="1:12" x14ac:dyDescent="0.25">
      <c r="A92" s="1">
        <v>1622</v>
      </c>
      <c r="B92" s="1">
        <v>1</v>
      </c>
      <c r="C92" s="1">
        <v>6</v>
      </c>
      <c r="D92" s="1">
        <v>12</v>
      </c>
      <c r="E92" s="1">
        <v>314</v>
      </c>
      <c r="F92" s="1">
        <v>1626</v>
      </c>
      <c r="G92" s="1" t="s">
        <v>229</v>
      </c>
      <c r="H92" s="1" t="s">
        <v>230</v>
      </c>
      <c r="J92" s="10">
        <v>4</v>
      </c>
      <c r="K92" s="1">
        <v>0.13700000000000001</v>
      </c>
      <c r="L92" s="8">
        <v>0.44640000000000002</v>
      </c>
    </row>
    <row r="93" spans="1:12" x14ac:dyDescent="0.25">
      <c r="A93" s="1">
        <v>1622</v>
      </c>
      <c r="B93" s="1">
        <v>1</v>
      </c>
      <c r="C93" s="1">
        <v>6</v>
      </c>
      <c r="D93" s="1">
        <v>12</v>
      </c>
      <c r="E93" s="1">
        <v>314</v>
      </c>
      <c r="F93" s="1">
        <v>1626</v>
      </c>
      <c r="G93" s="1" t="s">
        <v>231</v>
      </c>
      <c r="H93" s="1" t="s">
        <v>232</v>
      </c>
      <c r="J93" s="10">
        <v>11</v>
      </c>
      <c r="K93" s="1">
        <v>0.13700000000000001</v>
      </c>
      <c r="L93" s="8">
        <v>0.44640000000000002</v>
      </c>
    </row>
    <row r="94" spans="1:12" x14ac:dyDescent="0.25">
      <c r="A94" s="1">
        <v>1622</v>
      </c>
      <c r="B94" s="1">
        <v>1</v>
      </c>
      <c r="C94" s="1">
        <v>6</v>
      </c>
      <c r="D94" s="1">
        <v>12</v>
      </c>
      <c r="E94" s="1">
        <v>314</v>
      </c>
      <c r="F94" s="1">
        <v>1626</v>
      </c>
      <c r="G94" s="1" t="s">
        <v>233</v>
      </c>
      <c r="H94" s="1" t="s">
        <v>234</v>
      </c>
      <c r="J94" s="10">
        <v>55</v>
      </c>
      <c r="K94" s="1">
        <v>0.31359999999999999</v>
      </c>
      <c r="L94" s="8">
        <v>0.35960000000000003</v>
      </c>
    </row>
    <row r="95" spans="1:12" x14ac:dyDescent="0.25">
      <c r="A95" s="1">
        <v>1622</v>
      </c>
      <c r="B95" s="1">
        <v>1</v>
      </c>
      <c r="C95" s="1">
        <v>6</v>
      </c>
      <c r="D95" s="1">
        <v>12</v>
      </c>
      <c r="E95" s="1">
        <v>314</v>
      </c>
      <c r="F95" s="1">
        <v>1626</v>
      </c>
      <c r="G95" s="1" t="s">
        <v>235</v>
      </c>
      <c r="H95" s="1" t="s">
        <v>236</v>
      </c>
      <c r="J95" s="10">
        <v>1</v>
      </c>
      <c r="K95" s="1">
        <v>0.20069999999999999</v>
      </c>
      <c r="L95" s="8">
        <v>0.44640000000000002</v>
      </c>
    </row>
    <row r="96" spans="1:12" x14ac:dyDescent="0.25">
      <c r="A96" s="1">
        <v>1622</v>
      </c>
      <c r="B96" s="1">
        <v>1</v>
      </c>
      <c r="C96" s="1">
        <v>6</v>
      </c>
      <c r="D96" s="1">
        <v>12</v>
      </c>
      <c r="E96" s="1">
        <v>314</v>
      </c>
      <c r="F96" s="1">
        <v>1626</v>
      </c>
      <c r="G96" s="1" t="s">
        <v>237</v>
      </c>
      <c r="H96" s="1" t="s">
        <v>238</v>
      </c>
      <c r="J96" s="10">
        <v>184</v>
      </c>
      <c r="K96" s="1">
        <v>0.31359999999999999</v>
      </c>
      <c r="L96" s="8">
        <v>0.44640000000000002</v>
      </c>
    </row>
    <row r="97" spans="1:12" x14ac:dyDescent="0.25">
      <c r="A97" s="1">
        <v>1622</v>
      </c>
      <c r="B97" s="1">
        <v>1</v>
      </c>
      <c r="C97" s="1">
        <v>6</v>
      </c>
      <c r="D97" s="1">
        <v>12</v>
      </c>
      <c r="E97" s="1">
        <v>314</v>
      </c>
      <c r="F97" s="1">
        <v>1626</v>
      </c>
      <c r="G97" s="1" t="s">
        <v>239</v>
      </c>
      <c r="H97" s="1" t="s">
        <v>240</v>
      </c>
      <c r="J97" s="10"/>
      <c r="K97" s="1">
        <v>0.31359999999999999</v>
      </c>
      <c r="L97" s="8">
        <v>0.35960000000000003</v>
      </c>
    </row>
    <row r="98" spans="1:12" x14ac:dyDescent="0.25">
      <c r="A98" s="1">
        <v>1622</v>
      </c>
      <c r="B98" s="1">
        <v>1</v>
      </c>
      <c r="C98" s="1">
        <v>6</v>
      </c>
      <c r="D98" s="1">
        <v>12</v>
      </c>
      <c r="E98" s="1">
        <v>314</v>
      </c>
      <c r="F98" s="1">
        <v>1626</v>
      </c>
      <c r="G98" s="1" t="s">
        <v>241</v>
      </c>
      <c r="H98" s="1" t="s">
        <v>242</v>
      </c>
      <c r="J98" s="10">
        <v>50</v>
      </c>
      <c r="K98" s="1">
        <v>0.31359999999999999</v>
      </c>
      <c r="L98" s="8">
        <v>0.35960000000000003</v>
      </c>
    </row>
    <row r="99" spans="1:12" x14ac:dyDescent="0.25">
      <c r="A99" s="1">
        <v>1622</v>
      </c>
      <c r="B99" s="1">
        <v>1</v>
      </c>
      <c r="C99" s="1">
        <v>6</v>
      </c>
      <c r="D99" s="1">
        <v>12</v>
      </c>
      <c r="E99" s="1">
        <v>314</v>
      </c>
      <c r="F99" s="1">
        <v>1626</v>
      </c>
      <c r="G99" s="1" t="s">
        <v>243</v>
      </c>
      <c r="H99" s="1" t="s">
        <v>244</v>
      </c>
      <c r="J99" s="10">
        <v>61</v>
      </c>
      <c r="K99" s="1">
        <v>0.20069999999999999</v>
      </c>
      <c r="L99" s="8">
        <v>0.44640000000000002</v>
      </c>
    </row>
    <row r="100" spans="1:12" x14ac:dyDescent="0.25">
      <c r="A100" s="1">
        <v>1622</v>
      </c>
      <c r="B100" s="1">
        <v>1</v>
      </c>
      <c r="C100" s="1">
        <v>6</v>
      </c>
      <c r="D100" s="1">
        <v>12</v>
      </c>
      <c r="E100" s="1">
        <v>314</v>
      </c>
      <c r="F100" s="1">
        <v>1626</v>
      </c>
      <c r="G100" s="1" t="s">
        <v>245</v>
      </c>
      <c r="H100" s="1" t="s">
        <v>246</v>
      </c>
      <c r="J100" s="10">
        <v>1657</v>
      </c>
      <c r="K100" s="1">
        <v>0.13700000000000001</v>
      </c>
      <c r="L100" s="8">
        <v>0.35960000000000003</v>
      </c>
    </row>
    <row r="101" spans="1:12" x14ac:dyDescent="0.25">
      <c r="A101" s="1">
        <v>1622</v>
      </c>
      <c r="B101" s="1">
        <v>1</v>
      </c>
      <c r="C101" s="1">
        <v>6</v>
      </c>
      <c r="D101" s="1">
        <v>12</v>
      </c>
      <c r="E101" s="1">
        <v>314</v>
      </c>
      <c r="F101" s="1">
        <v>1626</v>
      </c>
      <c r="G101" s="1" t="s">
        <v>247</v>
      </c>
      <c r="H101" s="1" t="s">
        <v>248</v>
      </c>
      <c r="J101" s="10">
        <v>6</v>
      </c>
      <c r="K101" s="1">
        <v>0.13700000000000001</v>
      </c>
      <c r="L101" s="8">
        <v>0.44640000000000002</v>
      </c>
    </row>
    <row r="102" spans="1:12" x14ac:dyDescent="0.25">
      <c r="A102" s="1">
        <v>1622</v>
      </c>
      <c r="B102" s="1">
        <v>1</v>
      </c>
      <c r="C102" s="1">
        <v>6</v>
      </c>
      <c r="D102" s="1">
        <v>12</v>
      </c>
      <c r="E102" s="1">
        <v>314</v>
      </c>
      <c r="F102" s="1">
        <v>1626</v>
      </c>
      <c r="G102" s="1" t="s">
        <v>249</v>
      </c>
      <c r="H102" s="1" t="s">
        <v>250</v>
      </c>
      <c r="J102" s="10"/>
      <c r="K102" s="1">
        <v>0.13700000000000001</v>
      </c>
      <c r="L102" s="8">
        <v>0.35960000000000003</v>
      </c>
    </row>
    <row r="103" spans="1:12" x14ac:dyDescent="0.25">
      <c r="A103" s="1">
        <v>1622</v>
      </c>
      <c r="B103" s="1">
        <v>1</v>
      </c>
      <c r="C103" s="1">
        <v>6</v>
      </c>
      <c r="D103" s="1">
        <v>12</v>
      </c>
      <c r="E103" s="1">
        <v>314</v>
      </c>
      <c r="F103" s="1">
        <v>1626</v>
      </c>
      <c r="G103" s="1" t="s">
        <v>251</v>
      </c>
      <c r="H103" s="1" t="s">
        <v>252</v>
      </c>
      <c r="J103" s="10">
        <v>1</v>
      </c>
      <c r="K103" s="1">
        <v>0.13700000000000001</v>
      </c>
      <c r="L103" s="8">
        <v>0.44640000000000002</v>
      </c>
    </row>
    <row r="104" spans="1:12" x14ac:dyDescent="0.25">
      <c r="A104" s="1">
        <v>1622</v>
      </c>
      <c r="B104" s="1">
        <v>1</v>
      </c>
      <c r="C104" s="1">
        <v>6</v>
      </c>
      <c r="D104" s="1">
        <v>12</v>
      </c>
      <c r="E104" s="1">
        <v>314</v>
      </c>
      <c r="F104" s="1">
        <v>1626</v>
      </c>
      <c r="G104" s="1" t="s">
        <v>253</v>
      </c>
      <c r="H104" s="1" t="s">
        <v>254</v>
      </c>
      <c r="J104" s="10">
        <v>100</v>
      </c>
      <c r="K104" s="1">
        <v>0.13700000000000001</v>
      </c>
      <c r="L104" s="8">
        <v>0.35960000000000003</v>
      </c>
    </row>
    <row r="105" spans="1:12" x14ac:dyDescent="0.25">
      <c r="A105" s="1">
        <v>1622</v>
      </c>
      <c r="B105" s="1">
        <v>1</v>
      </c>
      <c r="C105" s="1">
        <v>6</v>
      </c>
      <c r="D105" s="1">
        <v>12</v>
      </c>
      <c r="E105" s="1">
        <v>314</v>
      </c>
      <c r="F105" s="1">
        <v>1626</v>
      </c>
      <c r="G105" s="1" t="s">
        <v>255</v>
      </c>
      <c r="H105" s="1" t="s">
        <v>256</v>
      </c>
      <c r="J105" s="10">
        <v>1</v>
      </c>
      <c r="K105" s="1">
        <v>0.31359999999999999</v>
      </c>
      <c r="L105" s="8">
        <v>0.44640000000000002</v>
      </c>
    </row>
    <row r="106" spans="1:12" x14ac:dyDescent="0.25">
      <c r="A106" s="1">
        <v>1622</v>
      </c>
      <c r="B106" s="1">
        <v>1</v>
      </c>
      <c r="C106" s="1">
        <v>6</v>
      </c>
      <c r="D106" s="1">
        <v>12</v>
      </c>
      <c r="E106" s="1">
        <v>314</v>
      </c>
      <c r="F106" s="1">
        <v>1626</v>
      </c>
      <c r="G106" s="1" t="s">
        <v>257</v>
      </c>
      <c r="H106" s="1" t="s">
        <v>258</v>
      </c>
      <c r="J106" s="10">
        <v>132</v>
      </c>
      <c r="K106" s="1">
        <v>0.31359999999999999</v>
      </c>
      <c r="L106" s="8">
        <v>0.27189999999999998</v>
      </c>
    </row>
    <row r="107" spans="1:12" x14ac:dyDescent="0.25">
      <c r="A107" s="1">
        <v>1622</v>
      </c>
      <c r="B107" s="1">
        <v>1</v>
      </c>
      <c r="C107" s="1">
        <v>6</v>
      </c>
      <c r="D107" s="1">
        <v>12</v>
      </c>
      <c r="E107" s="1">
        <v>314</v>
      </c>
      <c r="F107" s="1">
        <v>1626</v>
      </c>
      <c r="G107" s="1" t="s">
        <v>259</v>
      </c>
      <c r="H107" s="1" t="s">
        <v>260</v>
      </c>
      <c r="J107" s="10">
        <v>1</v>
      </c>
      <c r="K107" s="1">
        <v>0.13700000000000001</v>
      </c>
      <c r="L107" s="8">
        <v>0.27189999999999998</v>
      </c>
    </row>
    <row r="108" spans="1:12" x14ac:dyDescent="0.25">
      <c r="A108" s="1">
        <v>1622</v>
      </c>
      <c r="B108" s="1">
        <v>1</v>
      </c>
      <c r="C108" s="1">
        <v>6</v>
      </c>
      <c r="D108" s="1">
        <v>12</v>
      </c>
      <c r="E108" s="1">
        <v>314</v>
      </c>
      <c r="F108" s="1">
        <v>1626</v>
      </c>
      <c r="G108" s="1" t="s">
        <v>261</v>
      </c>
      <c r="H108" s="1" t="s">
        <v>262</v>
      </c>
      <c r="J108" s="10">
        <v>2500</v>
      </c>
      <c r="K108" s="1">
        <v>0.14000000000000001</v>
      </c>
      <c r="L108" s="8">
        <v>0.35709999999999992</v>
      </c>
    </row>
    <row r="109" spans="1:12" x14ac:dyDescent="0.25">
      <c r="A109" s="1">
        <v>1622</v>
      </c>
      <c r="B109" s="1">
        <v>1</v>
      </c>
      <c r="C109" s="1">
        <v>6</v>
      </c>
      <c r="D109" s="1">
        <v>12</v>
      </c>
      <c r="E109" s="1">
        <v>314</v>
      </c>
      <c r="F109" s="1">
        <v>1626</v>
      </c>
      <c r="G109" s="1" t="s">
        <v>263</v>
      </c>
      <c r="H109" s="1" t="s">
        <v>264</v>
      </c>
      <c r="J109" s="10">
        <v>51</v>
      </c>
      <c r="K109" s="1">
        <v>0.20069999999999999</v>
      </c>
      <c r="L109" s="8">
        <v>0.27189999999999998</v>
      </c>
    </row>
    <row r="110" spans="1:12" x14ac:dyDescent="0.25">
      <c r="A110" s="1">
        <v>1622</v>
      </c>
      <c r="B110" s="1">
        <v>1</v>
      </c>
      <c r="C110" s="1">
        <v>6</v>
      </c>
      <c r="D110" s="1">
        <v>12</v>
      </c>
      <c r="E110" s="1">
        <v>314</v>
      </c>
      <c r="F110" s="1">
        <v>1626</v>
      </c>
      <c r="G110" s="1" t="s">
        <v>265</v>
      </c>
      <c r="H110" s="1" t="s">
        <v>266</v>
      </c>
      <c r="J110" s="10">
        <v>158</v>
      </c>
      <c r="K110" s="1">
        <v>0.20069999999999999</v>
      </c>
      <c r="L110" s="8">
        <v>0.27189999999999998</v>
      </c>
    </row>
    <row r="111" spans="1:12" x14ac:dyDescent="0.25">
      <c r="A111" s="1">
        <v>1622</v>
      </c>
      <c r="B111" s="1">
        <v>1</v>
      </c>
      <c r="C111" s="1">
        <v>6</v>
      </c>
      <c r="D111" s="1">
        <v>12</v>
      </c>
      <c r="E111" s="1">
        <v>314</v>
      </c>
      <c r="F111" s="1">
        <v>1626</v>
      </c>
      <c r="G111" s="1" t="s">
        <v>267</v>
      </c>
      <c r="H111" s="1" t="s">
        <v>268</v>
      </c>
      <c r="J111" s="10">
        <v>19</v>
      </c>
      <c r="K111" s="1">
        <v>0.20069999999999999</v>
      </c>
      <c r="L111" s="8">
        <v>0.27189999999999998</v>
      </c>
    </row>
    <row r="112" spans="1:12" x14ac:dyDescent="0.25">
      <c r="A112" s="1">
        <v>1622</v>
      </c>
      <c r="B112" s="1">
        <v>1</v>
      </c>
      <c r="C112" s="1">
        <v>6</v>
      </c>
      <c r="D112" s="1">
        <v>12</v>
      </c>
      <c r="E112" s="1">
        <v>314</v>
      </c>
      <c r="F112" s="1">
        <v>1626</v>
      </c>
      <c r="G112" s="1" t="s">
        <v>269</v>
      </c>
      <c r="H112" s="1" t="s">
        <v>270</v>
      </c>
      <c r="J112" s="10">
        <v>22</v>
      </c>
      <c r="K112" s="1">
        <v>0.20069999999999999</v>
      </c>
      <c r="L112" s="8">
        <v>0.27189999999999998</v>
      </c>
    </row>
    <row r="113" spans="1:12" x14ac:dyDescent="0.25">
      <c r="A113" s="1">
        <v>1622</v>
      </c>
      <c r="B113" s="1">
        <v>1</v>
      </c>
      <c r="C113" s="1">
        <v>6</v>
      </c>
      <c r="D113" s="1">
        <v>12</v>
      </c>
      <c r="E113" s="1">
        <v>314</v>
      </c>
      <c r="F113" s="1">
        <v>1626</v>
      </c>
      <c r="G113" s="1" t="s">
        <v>271</v>
      </c>
      <c r="H113" s="1" t="s">
        <v>272</v>
      </c>
      <c r="J113" s="10">
        <v>9</v>
      </c>
      <c r="K113" s="1">
        <v>0.13700000000000001</v>
      </c>
      <c r="L113" s="8">
        <v>0.27</v>
      </c>
    </row>
    <row r="114" spans="1:12" x14ac:dyDescent="0.25">
      <c r="A114" s="1">
        <v>1622</v>
      </c>
      <c r="B114" s="1">
        <v>1</v>
      </c>
      <c r="C114" s="1">
        <v>6</v>
      </c>
      <c r="D114" s="1">
        <v>12</v>
      </c>
      <c r="E114" s="1">
        <v>314</v>
      </c>
      <c r="F114" s="1">
        <v>1626</v>
      </c>
      <c r="G114" s="1" t="s">
        <v>273</v>
      </c>
      <c r="H114" s="1" t="s">
        <v>274</v>
      </c>
      <c r="J114" s="10">
        <v>75</v>
      </c>
      <c r="K114" s="1">
        <v>0.31359999999999999</v>
      </c>
      <c r="L114" s="8">
        <v>0.27189999999999998</v>
      </c>
    </row>
    <row r="115" spans="1:12" x14ac:dyDescent="0.25">
      <c r="A115" s="1">
        <v>1622</v>
      </c>
      <c r="B115" s="1">
        <v>1</v>
      </c>
      <c r="C115" s="1">
        <v>6</v>
      </c>
      <c r="D115" s="1">
        <v>12</v>
      </c>
      <c r="E115" s="1">
        <v>314</v>
      </c>
      <c r="F115" s="1">
        <v>1626</v>
      </c>
      <c r="G115" s="1" t="s">
        <v>275</v>
      </c>
      <c r="H115" s="1" t="s">
        <v>276</v>
      </c>
      <c r="J115" s="10">
        <v>50</v>
      </c>
      <c r="K115" s="1">
        <v>0.20069999999999999</v>
      </c>
      <c r="L115" s="8">
        <v>0.27189999999999998</v>
      </c>
    </row>
    <row r="116" spans="1:12" x14ac:dyDescent="0.25">
      <c r="A116" s="1">
        <v>1622</v>
      </c>
      <c r="B116" s="1">
        <v>1</v>
      </c>
      <c r="C116" s="1">
        <v>6</v>
      </c>
      <c r="D116" s="1">
        <v>12</v>
      </c>
      <c r="E116" s="1">
        <v>314</v>
      </c>
      <c r="F116" s="1">
        <v>1626</v>
      </c>
      <c r="G116" s="1" t="s">
        <v>277</v>
      </c>
      <c r="H116" s="1" t="s">
        <v>278</v>
      </c>
      <c r="J116" s="10">
        <v>52</v>
      </c>
      <c r="K116" s="1">
        <v>0.13700000000000001</v>
      </c>
      <c r="L116" s="8">
        <v>0.44640000000000002</v>
      </c>
    </row>
    <row r="117" spans="1:12" x14ac:dyDescent="0.25">
      <c r="A117" s="1">
        <v>1622</v>
      </c>
      <c r="B117" s="1">
        <v>1</v>
      </c>
      <c r="C117" s="1">
        <v>6</v>
      </c>
      <c r="D117" s="1">
        <v>12</v>
      </c>
      <c r="E117" s="1">
        <v>314</v>
      </c>
      <c r="F117" s="1">
        <v>1626</v>
      </c>
      <c r="G117" s="1" t="s">
        <v>279</v>
      </c>
      <c r="H117" s="1" t="s">
        <v>280</v>
      </c>
      <c r="J117" s="10">
        <v>47</v>
      </c>
      <c r="K117" s="1">
        <v>0.13700000000000001</v>
      </c>
      <c r="L117" s="8">
        <v>0.35960000000000003</v>
      </c>
    </row>
    <row r="118" spans="1:12" x14ac:dyDescent="0.25">
      <c r="A118" s="1">
        <v>1622</v>
      </c>
      <c r="B118" s="1">
        <v>1</v>
      </c>
      <c r="C118" s="1">
        <v>6</v>
      </c>
      <c r="D118" s="1">
        <v>12</v>
      </c>
      <c r="E118" s="1">
        <v>314</v>
      </c>
      <c r="F118" s="1">
        <v>1626</v>
      </c>
      <c r="G118" s="1" t="s">
        <v>281</v>
      </c>
      <c r="H118" s="1" t="s">
        <v>282</v>
      </c>
      <c r="J118" s="10">
        <v>50</v>
      </c>
      <c r="K118" s="1">
        <v>0.31359999999999999</v>
      </c>
      <c r="L118" s="8">
        <v>0.45</v>
      </c>
    </row>
    <row r="119" spans="1:12" x14ac:dyDescent="0.25">
      <c r="A119" s="1">
        <v>1622</v>
      </c>
      <c r="B119" s="1">
        <v>1</v>
      </c>
      <c r="C119" s="1">
        <v>6</v>
      </c>
      <c r="D119" s="1">
        <v>12</v>
      </c>
      <c r="E119" s="1">
        <v>314</v>
      </c>
      <c r="F119" s="1">
        <v>1626</v>
      </c>
      <c r="G119" s="1" t="s">
        <v>283</v>
      </c>
      <c r="H119" s="1" t="s">
        <v>284</v>
      </c>
      <c r="J119" s="10">
        <v>50</v>
      </c>
      <c r="K119" s="1">
        <v>0.20069999999999999</v>
      </c>
      <c r="L119" s="8">
        <v>0.44640000000000002</v>
      </c>
    </row>
    <row r="120" spans="1:12" x14ac:dyDescent="0.25">
      <c r="A120" s="1">
        <v>1622</v>
      </c>
      <c r="B120" s="1">
        <v>1</v>
      </c>
      <c r="C120" s="1">
        <v>6</v>
      </c>
      <c r="D120" s="1">
        <v>12</v>
      </c>
      <c r="E120" s="1">
        <v>314</v>
      </c>
      <c r="F120" s="1">
        <v>1626</v>
      </c>
      <c r="G120" s="1" t="s">
        <v>285</v>
      </c>
      <c r="H120" s="1" t="s">
        <v>286</v>
      </c>
      <c r="J120" s="10">
        <v>98</v>
      </c>
      <c r="K120" s="1">
        <v>0.31359999999999999</v>
      </c>
      <c r="L120" s="8">
        <v>0.44640000000000002</v>
      </c>
    </row>
    <row r="121" spans="1:12" x14ac:dyDescent="0.25">
      <c r="A121" s="1">
        <v>1622</v>
      </c>
      <c r="B121" s="1">
        <v>1</v>
      </c>
      <c r="C121" s="1">
        <v>6</v>
      </c>
      <c r="D121" s="1">
        <v>12</v>
      </c>
      <c r="E121" s="1">
        <v>314</v>
      </c>
      <c r="F121" s="1">
        <v>1626</v>
      </c>
      <c r="G121" s="1" t="s">
        <v>287</v>
      </c>
      <c r="H121" s="1" t="s">
        <v>288</v>
      </c>
      <c r="J121" s="10">
        <v>350</v>
      </c>
      <c r="K121" s="1">
        <v>0.13700000000000001</v>
      </c>
      <c r="L121" s="8">
        <v>0.27189999999999998</v>
      </c>
    </row>
    <row r="122" spans="1:12" x14ac:dyDescent="0.25">
      <c r="A122" s="1">
        <v>1622</v>
      </c>
      <c r="B122" s="1">
        <v>1</v>
      </c>
      <c r="C122" s="1">
        <v>6</v>
      </c>
      <c r="D122" s="1">
        <v>12</v>
      </c>
      <c r="E122" s="1">
        <v>314</v>
      </c>
      <c r="F122" s="1">
        <v>1626</v>
      </c>
      <c r="G122" s="1" t="s">
        <v>289</v>
      </c>
      <c r="H122" s="1" t="s">
        <v>290</v>
      </c>
      <c r="J122" s="10">
        <v>1</v>
      </c>
      <c r="K122" s="1">
        <v>0.12</v>
      </c>
      <c r="L122" s="8">
        <v>0.35960000000000003</v>
      </c>
    </row>
    <row r="123" spans="1:12" x14ac:dyDescent="0.25">
      <c r="A123" s="1">
        <v>1622</v>
      </c>
      <c r="B123" s="1">
        <v>1</v>
      </c>
      <c r="C123" s="1">
        <v>6</v>
      </c>
      <c r="D123" s="1">
        <v>12</v>
      </c>
      <c r="E123" s="1">
        <v>314</v>
      </c>
      <c r="F123" s="1">
        <v>1626</v>
      </c>
      <c r="G123" s="1" t="s">
        <v>291</v>
      </c>
      <c r="H123" s="1" t="s">
        <v>292</v>
      </c>
      <c r="J123" s="10">
        <v>3</v>
      </c>
      <c r="K123" s="1">
        <v>0.13700000000000001</v>
      </c>
      <c r="L123" s="8">
        <v>0.27189999999999998</v>
      </c>
    </row>
    <row r="124" spans="1:12" x14ac:dyDescent="0.25">
      <c r="A124" s="1">
        <v>1622</v>
      </c>
      <c r="B124" s="1">
        <v>1</v>
      </c>
      <c r="C124" s="1">
        <v>6</v>
      </c>
      <c r="D124" s="1">
        <v>12</v>
      </c>
      <c r="E124" s="1">
        <v>314</v>
      </c>
      <c r="F124" s="1">
        <v>1626</v>
      </c>
      <c r="G124" s="1" t="s">
        <v>293</v>
      </c>
      <c r="H124" s="1" t="s">
        <v>294</v>
      </c>
      <c r="J124" s="10">
        <v>200</v>
      </c>
      <c r="K124" s="1">
        <v>0.13700000000000001</v>
      </c>
      <c r="L124" s="8">
        <v>0.27189999999999998</v>
      </c>
    </row>
    <row r="125" spans="1:12" x14ac:dyDescent="0.25">
      <c r="A125" s="1">
        <v>1622</v>
      </c>
      <c r="B125" s="1">
        <v>1</v>
      </c>
      <c r="C125" s="1">
        <v>6</v>
      </c>
      <c r="D125" s="1">
        <v>12</v>
      </c>
      <c r="E125" s="1">
        <v>314</v>
      </c>
      <c r="F125" s="1">
        <v>1626</v>
      </c>
      <c r="G125" s="1" t="s">
        <v>295</v>
      </c>
      <c r="H125" s="1" t="s">
        <v>296</v>
      </c>
      <c r="J125" s="10">
        <v>300</v>
      </c>
      <c r="K125" s="1">
        <v>0.31359999999999999</v>
      </c>
      <c r="L125" s="8">
        <v>0.27189999999999998</v>
      </c>
    </row>
    <row r="126" spans="1:12" x14ac:dyDescent="0.25">
      <c r="A126" s="1">
        <v>1622</v>
      </c>
      <c r="B126" s="1">
        <v>1</v>
      </c>
      <c r="C126" s="1">
        <v>6</v>
      </c>
      <c r="D126" s="1">
        <v>12</v>
      </c>
      <c r="E126" s="1">
        <v>314</v>
      </c>
      <c r="F126" s="1">
        <v>1626</v>
      </c>
      <c r="G126" s="1" t="s">
        <v>297</v>
      </c>
      <c r="H126" s="1" t="s">
        <v>298</v>
      </c>
      <c r="J126" s="10">
        <v>200</v>
      </c>
      <c r="K126" s="1">
        <v>0.31359999999999999</v>
      </c>
      <c r="L126" s="8">
        <v>0.27189999999999998</v>
      </c>
    </row>
    <row r="127" spans="1:12" x14ac:dyDescent="0.25">
      <c r="A127" s="1">
        <v>1622</v>
      </c>
      <c r="B127" s="1">
        <v>1</v>
      </c>
      <c r="C127" s="1">
        <v>6</v>
      </c>
      <c r="D127" s="1">
        <v>12</v>
      </c>
      <c r="E127" s="1">
        <v>314</v>
      </c>
      <c r="F127" s="1">
        <v>1626</v>
      </c>
      <c r="G127" s="1" t="s">
        <v>299</v>
      </c>
      <c r="H127" s="1" t="s">
        <v>300</v>
      </c>
      <c r="J127" s="10">
        <v>150</v>
      </c>
      <c r="K127" s="1">
        <v>0.31359999999999999</v>
      </c>
      <c r="L127" s="8">
        <v>0.27189999999999998</v>
      </c>
    </row>
    <row r="128" spans="1:12" x14ac:dyDescent="0.25">
      <c r="A128" s="1">
        <v>1622</v>
      </c>
      <c r="B128" s="1">
        <v>1</v>
      </c>
      <c r="C128" s="1">
        <v>6</v>
      </c>
      <c r="D128" s="1">
        <v>12</v>
      </c>
      <c r="E128" s="1">
        <v>314</v>
      </c>
      <c r="F128" s="1">
        <v>1626</v>
      </c>
      <c r="G128" s="1" t="s">
        <v>301</v>
      </c>
      <c r="H128" s="1" t="s">
        <v>302</v>
      </c>
      <c r="J128" s="10">
        <v>200</v>
      </c>
      <c r="K128" s="1">
        <v>0.31359999999999999</v>
      </c>
      <c r="L128" s="8">
        <v>0.44640000000000002</v>
      </c>
    </row>
    <row r="129" spans="1:12" x14ac:dyDescent="0.25">
      <c r="A129" s="1">
        <v>1622</v>
      </c>
      <c r="B129" s="1">
        <v>1</v>
      </c>
      <c r="C129" s="1">
        <v>6</v>
      </c>
      <c r="D129" s="1">
        <v>12</v>
      </c>
      <c r="E129" s="1">
        <v>314</v>
      </c>
      <c r="F129" s="1">
        <v>1626</v>
      </c>
      <c r="G129" s="1" t="s">
        <v>303</v>
      </c>
      <c r="H129" s="1" t="s">
        <v>304</v>
      </c>
      <c r="J129" s="10">
        <v>130</v>
      </c>
      <c r="K129" s="1">
        <v>0.20069999999999999</v>
      </c>
      <c r="L129" s="8">
        <v>0.44640000000000002</v>
      </c>
    </row>
    <row r="130" spans="1:12" x14ac:dyDescent="0.25">
      <c r="A130" s="1">
        <v>1622</v>
      </c>
      <c r="B130" s="1">
        <v>1</v>
      </c>
      <c r="C130" s="1">
        <v>6</v>
      </c>
      <c r="D130" s="1">
        <v>12</v>
      </c>
      <c r="E130" s="1">
        <v>314</v>
      </c>
      <c r="F130" s="1">
        <v>1626</v>
      </c>
      <c r="G130" s="1" t="s">
        <v>305</v>
      </c>
      <c r="H130" s="1" t="s">
        <v>306</v>
      </c>
      <c r="J130" s="10">
        <v>52</v>
      </c>
      <c r="K130" s="1">
        <v>0.20069999999999999</v>
      </c>
      <c r="L130" s="8">
        <v>0.44640000000000002</v>
      </c>
    </row>
  </sheetData>
  <sheetProtection algorithmName="SHA-512" hashValue="Z2OSQnZVS8WEGyYywtSkpxC9SMHcTAeGuU/5PI4a7GyflWyKv8rh+yL7Pc4kjDqRhHE0kOZfWdCDkfGUj6DJaQ==" saltValue="sGzbMw10apg/lgiFcOvoWQ==" spinCount="100000" sheet="1" objects="1" scenarios="1" insertColumns="0" deleteColumns="0"/>
  <pageMargins left="0.7" right="0.7" top="0.75" bottom="0.75" header="0.3" footer="0.3"/>
  <pageSetup paperSize="9" orientation="portrait" horizontalDpi="240" verticalDpi="14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activeCell="A12" sqref="A12"/>
    </sheetView>
  </sheetViews>
  <sheetFormatPr baseColWidth="10" defaultRowHeight="15" x14ac:dyDescent="0.25"/>
  <sheetData>
    <row r="1" spans="1:2" x14ac:dyDescent="0.25">
      <c r="A1" s="4" t="s">
        <v>17</v>
      </c>
      <c r="B1" s="4" t="s">
        <v>18</v>
      </c>
    </row>
    <row r="2" spans="1:2" x14ac:dyDescent="0.25">
      <c r="A2">
        <v>1595</v>
      </c>
      <c r="B2" t="s">
        <v>30</v>
      </c>
    </row>
    <row r="3" spans="1:2" x14ac:dyDescent="0.25">
      <c r="A3">
        <v>1607</v>
      </c>
      <c r="B3" t="s">
        <v>35</v>
      </c>
    </row>
    <row r="4" spans="1:2" x14ac:dyDescent="0.25">
      <c r="A4">
        <v>1610</v>
      </c>
      <c r="B4" t="s">
        <v>40</v>
      </c>
    </row>
    <row r="5" spans="1:2" x14ac:dyDescent="0.25">
      <c r="A5">
        <v>1611</v>
      </c>
      <c r="B5" t="s">
        <v>47</v>
      </c>
    </row>
    <row r="6" spans="1:2" x14ac:dyDescent="0.25">
      <c r="A6">
        <v>1612</v>
      </c>
      <c r="B6" t="s">
        <v>36</v>
      </c>
    </row>
    <row r="7" spans="1:2" x14ac:dyDescent="0.25">
      <c r="A7">
        <v>1613</v>
      </c>
      <c r="B7" t="s">
        <v>38</v>
      </c>
    </row>
    <row r="8" spans="1:2" x14ac:dyDescent="0.25">
      <c r="A8">
        <v>1615</v>
      </c>
      <c r="B8" t="s">
        <v>45</v>
      </c>
    </row>
    <row r="9" spans="1:2" x14ac:dyDescent="0.25">
      <c r="A9">
        <v>1616</v>
      </c>
      <c r="B9" t="s">
        <v>46</v>
      </c>
    </row>
    <row r="10" spans="1:2" x14ac:dyDescent="0.25">
      <c r="A10">
        <v>1617</v>
      </c>
      <c r="B10" t="s">
        <v>39</v>
      </c>
    </row>
    <row r="11" spans="1:2" x14ac:dyDescent="0.25">
      <c r="A11">
        <v>1618</v>
      </c>
      <c r="B11" t="s">
        <v>41</v>
      </c>
    </row>
    <row r="12" spans="1:2" x14ac:dyDescent="0.25">
      <c r="A12">
        <v>1619</v>
      </c>
      <c r="B12" t="s">
        <v>42</v>
      </c>
    </row>
    <row r="13" spans="1:2" x14ac:dyDescent="0.25">
      <c r="A13">
        <v>1620</v>
      </c>
      <c r="B13" t="s">
        <v>43</v>
      </c>
    </row>
    <row r="14" spans="1:2" x14ac:dyDescent="0.25">
      <c r="A14">
        <v>1621</v>
      </c>
      <c r="B14" t="s">
        <v>44</v>
      </c>
    </row>
    <row r="15" spans="1:2" x14ac:dyDescent="0.25">
      <c r="A15">
        <v>1622</v>
      </c>
      <c r="B15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sqref="A1:B1"/>
    </sheetView>
  </sheetViews>
  <sheetFormatPr baseColWidth="10" defaultRowHeight="15" x14ac:dyDescent="0.25"/>
  <cols>
    <col min="2" max="2" width="28.5703125" customWidth="1"/>
  </cols>
  <sheetData>
    <row r="1" spans="1:2" x14ac:dyDescent="0.25">
      <c r="A1" s="4" t="s">
        <v>17</v>
      </c>
      <c r="B1" s="4" t="s">
        <v>18</v>
      </c>
    </row>
    <row r="2" spans="1:2" x14ac:dyDescent="0.25">
      <c r="A2">
        <v>1</v>
      </c>
      <c r="B2" t="s">
        <v>12</v>
      </c>
    </row>
    <row r="3" spans="1:2" x14ac:dyDescent="0.25">
      <c r="A3">
        <v>2</v>
      </c>
      <c r="B3" t="s">
        <v>13</v>
      </c>
    </row>
    <row r="4" spans="1:2" x14ac:dyDescent="0.25">
      <c r="A4">
        <v>3</v>
      </c>
      <c r="B4" t="s">
        <v>14</v>
      </c>
    </row>
    <row r="5" spans="1:2" x14ac:dyDescent="0.25">
      <c r="A5">
        <v>13</v>
      </c>
      <c r="B5" t="s">
        <v>15</v>
      </c>
    </row>
    <row r="6" spans="1:2" x14ac:dyDescent="0.25">
      <c r="A6">
        <v>14</v>
      </c>
      <c r="B6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D19" sqref="D19"/>
    </sheetView>
  </sheetViews>
  <sheetFormatPr baseColWidth="10" defaultRowHeight="15" x14ac:dyDescent="0.25"/>
  <cols>
    <col min="2" max="2" width="15.85546875" customWidth="1"/>
  </cols>
  <sheetData>
    <row r="1" spans="1:4" x14ac:dyDescent="0.25">
      <c r="A1" s="4" t="s">
        <v>19</v>
      </c>
      <c r="B1" s="4" t="s">
        <v>20</v>
      </c>
    </row>
    <row r="2" spans="1:4" x14ac:dyDescent="0.25">
      <c r="A2">
        <v>4</v>
      </c>
      <c r="B2">
        <v>14</v>
      </c>
      <c r="C2" s="5"/>
      <c r="D2" s="5"/>
    </row>
    <row r="3" spans="1:4" x14ac:dyDescent="0.25">
      <c r="A3">
        <v>5</v>
      </c>
      <c r="B3">
        <v>0</v>
      </c>
      <c r="C3" s="5"/>
      <c r="D3" s="5"/>
    </row>
    <row r="4" spans="1:4" x14ac:dyDescent="0.25">
      <c r="A4">
        <v>6</v>
      </c>
      <c r="B4">
        <v>12</v>
      </c>
      <c r="C4" s="5"/>
      <c r="D4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D27" sqref="D27"/>
    </sheetView>
  </sheetViews>
  <sheetFormatPr baseColWidth="10" defaultRowHeight="15" x14ac:dyDescent="0.25"/>
  <cols>
    <col min="2" max="2" width="16.28515625" customWidth="1"/>
  </cols>
  <sheetData>
    <row r="1" spans="1:2" x14ac:dyDescent="0.25">
      <c r="A1" s="4" t="s">
        <v>17</v>
      </c>
      <c r="B1" s="4" t="s">
        <v>18</v>
      </c>
    </row>
    <row r="2" spans="1:2" x14ac:dyDescent="0.25">
      <c r="A2">
        <v>1</v>
      </c>
      <c r="B2" t="s">
        <v>21</v>
      </c>
    </row>
    <row r="3" spans="1:2" x14ac:dyDescent="0.25">
      <c r="A3">
        <v>2</v>
      </c>
      <c r="B3" t="s">
        <v>22</v>
      </c>
    </row>
    <row r="4" spans="1:2" x14ac:dyDescent="0.25">
      <c r="A4">
        <v>3</v>
      </c>
      <c r="B4" t="s">
        <v>23</v>
      </c>
    </row>
    <row r="5" spans="1:2" x14ac:dyDescent="0.25">
      <c r="A5">
        <v>4</v>
      </c>
      <c r="B5" t="s">
        <v>24</v>
      </c>
    </row>
    <row r="6" spans="1:2" x14ac:dyDescent="0.25">
      <c r="A6">
        <v>5</v>
      </c>
      <c r="B6" t="s">
        <v>25</v>
      </c>
    </row>
    <row r="7" spans="1:2" x14ac:dyDescent="0.25">
      <c r="A7">
        <v>6</v>
      </c>
      <c r="B7" t="s">
        <v>26</v>
      </c>
    </row>
    <row r="8" spans="1:2" x14ac:dyDescent="0.25">
      <c r="A8">
        <v>7</v>
      </c>
      <c r="B8" t="s">
        <v>27</v>
      </c>
    </row>
    <row r="9" spans="1:2" x14ac:dyDescent="0.25">
      <c r="A9">
        <v>8</v>
      </c>
      <c r="B9" t="s">
        <v>28</v>
      </c>
    </row>
    <row r="10" spans="1:2" x14ac:dyDescent="0.25">
      <c r="A10">
        <v>9</v>
      </c>
      <c r="B10" t="s">
        <v>29</v>
      </c>
    </row>
    <row r="11" spans="1:2" x14ac:dyDescent="0.25">
      <c r="A11">
        <v>10</v>
      </c>
      <c r="B11" t="s">
        <v>30</v>
      </c>
    </row>
    <row r="12" spans="1:2" x14ac:dyDescent="0.25">
      <c r="A12">
        <v>11</v>
      </c>
      <c r="B12" t="s">
        <v>31</v>
      </c>
    </row>
    <row r="13" spans="1:2" x14ac:dyDescent="0.25">
      <c r="A13">
        <v>12</v>
      </c>
      <c r="B13" t="s">
        <v>32</v>
      </c>
    </row>
    <row r="14" spans="1:2" x14ac:dyDescent="0.25">
      <c r="A14">
        <v>13</v>
      </c>
      <c r="B14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B2" sqref="B2"/>
    </sheetView>
  </sheetViews>
  <sheetFormatPr baseColWidth="10" defaultRowHeight="15" x14ac:dyDescent="0.25"/>
  <sheetData>
    <row r="1" spans="1:2" x14ac:dyDescent="0.25">
      <c r="A1" s="4" t="s">
        <v>19</v>
      </c>
      <c r="B1" s="4" t="s">
        <v>34</v>
      </c>
    </row>
    <row r="2" spans="1:2" x14ac:dyDescent="0.25">
      <c r="A2">
        <v>314</v>
      </c>
      <c r="B2" t="s">
        <v>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B3" sqref="B3"/>
    </sheetView>
  </sheetViews>
  <sheetFormatPr baseColWidth="10" defaultRowHeight="15" x14ac:dyDescent="0.25"/>
  <cols>
    <col min="2" max="2" width="14.28515625" customWidth="1"/>
  </cols>
  <sheetData>
    <row r="1" spans="1:2" x14ac:dyDescent="0.25">
      <c r="A1" s="4" t="s">
        <v>19</v>
      </c>
      <c r="B1" s="4" t="s">
        <v>34</v>
      </c>
    </row>
    <row r="2" spans="1:2" x14ac:dyDescent="0.25">
      <c r="A2">
        <v>1626</v>
      </c>
      <c r="B2" t="s">
        <v>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Productos</vt:lpstr>
      <vt:lpstr>Marca</vt:lpstr>
      <vt:lpstr>Adquisicion</vt:lpstr>
      <vt:lpstr>Iva</vt:lpstr>
      <vt:lpstr>Presentacion</vt:lpstr>
      <vt:lpstr>Ubicacion</vt:lpstr>
      <vt:lpstr>Categoria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SISTEMAS</dc:creator>
  <cp:lastModifiedBy>GABI</cp:lastModifiedBy>
  <dcterms:created xsi:type="dcterms:W3CDTF">2020-12-23T19:34:46Z</dcterms:created>
  <dcterms:modified xsi:type="dcterms:W3CDTF">2020-12-28T22:07:50Z</dcterms:modified>
</cp:coreProperties>
</file>