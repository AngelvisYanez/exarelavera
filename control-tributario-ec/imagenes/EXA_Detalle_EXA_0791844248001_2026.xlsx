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 EXA ERP" state="visible" r:id="rId4"/>
  </sheets>
  <calcPr calcId="171027"/>
</workbook>
</file>

<file path=xl/sharedStrings.xml><?xml version="1.0" encoding="utf-8"?>
<sst xmlns="http://schemas.openxmlformats.org/spreadsheetml/2006/main" count="53" uniqueCount="41">
  <si>
    <t>EXA Control Tributario -- Detalle EXA ERP 2026</t>
  </si>
  <si>
    <t>RUC: 0791844248001  |  MARJOMAR S.A.S.  |  Generado: 09/07/2026</t>
  </si>
  <si>
    <t>MES</t>
  </si>
  <si>
    <t>FORMULARIO 104</t>
  </si>
  <si>
    <t>FORMULARIO 103</t>
  </si>
  <si>
    <t>VENTAS</t>
  </si>
  <si>
    <t>COMPRAS</t>
  </si>
  <si>
    <t>V - C</t>
  </si>
  <si>
    <t>RETENCIONES IVA</t>
  </si>
  <si>
    <t>BI 15%</t>
  </si>
  <si>
    <t>BI 12%</t>
  </si>
  <si>
    <t>BI 8%</t>
  </si>
  <si>
    <t>BI 5%</t>
  </si>
  <si>
    <t>BI 0%</t>
  </si>
  <si>
    <t>N/D</t>
  </si>
  <si>
    <t>N/C</t>
  </si>
  <si>
    <t>I.V.A.</t>
  </si>
  <si>
    <t>I. RENTA</t>
  </si>
  <si>
    <t>RET. IVA</t>
  </si>
  <si>
    <t>TOTAL</t>
  </si>
  <si>
    <t>IMPOR.</t>
  </si>
  <si>
    <t>10%</t>
  </si>
  <si>
    <t>20%</t>
  </si>
  <si>
    <t>30%</t>
  </si>
  <si>
    <t>50%</t>
  </si>
  <si>
    <t>70%</t>
  </si>
  <si>
    <t>100%</t>
  </si>
  <si>
    <t>332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</si>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</sst>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B0C4DE"/>
      <sz val="10"/>
      <name val="Calibri"/>
    </font>
    <font>
      <b/>
      <color rgb="FFFFFFFF"/>
      <sz val="10"/>
      <name val="Calibri"/>
    </font>
    <font>
      <b/>
      <color rgb="FFFFFFFF"/>
      <sz val="9"/>
      <name val="Calibri"/>
    </font>
    <font>
      <b/>
      <color rgb="FF2C3E50"/>
      <sz val="9"/>
      <name val="Calibri"/>
    </font>
    <font>
      <color rgb="FF2C3E5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5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164" fontId="4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32" width="12" customWidth="1"/>
  </cols>
  <sheetData>
    <row r="1" ht="24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4" customHeight="1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8" customHeight="1" spans="1:32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4</v>
      </c>
      <c r="AF3" s="4"/>
    </row>
    <row r="4" ht="18" customHeight="1" spans="1:32" x14ac:dyDescent="0.25">
      <c r="A4" s="3"/>
      <c r="B4" s="4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 t="s">
        <v>6</v>
      </c>
      <c r="N4" s="4"/>
      <c r="O4" s="4"/>
      <c r="P4" s="4"/>
      <c r="Q4" s="4"/>
      <c r="R4" s="4"/>
      <c r="S4" s="4"/>
      <c r="T4" s="4"/>
      <c r="U4" s="4"/>
      <c r="V4" s="4"/>
      <c r="W4" s="4" t="s">
        <v>7</v>
      </c>
      <c r="X4" s="4" t="s">
        <v>8</v>
      </c>
      <c r="Y4" s="4"/>
      <c r="Z4" s="4"/>
      <c r="AA4" s="4"/>
      <c r="AB4" s="4"/>
      <c r="AC4" s="4"/>
      <c r="AD4" s="4"/>
      <c r="AE4" s="4" t="s">
        <v>4</v>
      </c>
      <c r="AF4" s="4"/>
    </row>
    <row r="5" ht="28" customHeight="1" spans="1:32" x14ac:dyDescent="0.25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20</v>
      </c>
      <c r="U5" s="5" t="s">
        <v>16</v>
      </c>
      <c r="V5" s="5" t="s">
        <v>19</v>
      </c>
      <c r="W5" s="4"/>
      <c r="X5" s="5" t="s">
        <v>21</v>
      </c>
      <c r="Y5" s="5" t="s">
        <v>22</v>
      </c>
      <c r="Z5" s="5" t="s">
        <v>23</v>
      </c>
      <c r="AA5" s="5" t="s">
        <v>24</v>
      </c>
      <c r="AB5" s="5" t="s">
        <v>25</v>
      </c>
      <c r="AC5" s="5" t="s">
        <v>26</v>
      </c>
      <c r="AD5" s="5" t="s">
        <v>19</v>
      </c>
      <c r="AE5" s="5" t="s">
        <v>27</v>
      </c>
      <c r="AF5" s="5" t="s">
        <v>19</v>
      </c>
    </row>
    <row r="6" ht="15" customHeight="1" spans="1:32" x14ac:dyDescent="0.25">
      <c r="A6" s="6" t="s">
        <v>28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ht="15" customHeight="1" spans="1:32" x14ac:dyDescent="0.25">
      <c r="A7" s="8" t="s">
        <v>29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</row>
    <row r="8" ht="15" customHeight="1" spans="1:32" x14ac:dyDescent="0.25">
      <c r="A8" s="6" t="s">
        <v>30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ht="15" customHeight="1" spans="1:32" x14ac:dyDescent="0.25">
      <c r="A9" s="8" t="s">
        <v>31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234.37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35.16</v>
      </c>
      <c r="V9" s="9">
        <v>234.37</v>
      </c>
      <c r="W9" s="9">
        <v>-234.37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234.37</v>
      </c>
      <c r="AF9" s="9">
        <v>234.37</v>
      </c>
    </row>
    <row r="10" ht="15" customHeight="1" spans="1:32" x14ac:dyDescent="0.25">
      <c r="A10" s="6" t="s">
        <v>32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2600</v>
      </c>
      <c r="R10" s="7">
        <v>0</v>
      </c>
      <c r="S10" s="7">
        <v>0</v>
      </c>
      <c r="T10" s="7">
        <v>0</v>
      </c>
      <c r="U10" s="7">
        <v>0</v>
      </c>
      <c r="V10" s="7">
        <v>2600</v>
      </c>
      <c r="W10" s="7">
        <v>-2600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2600</v>
      </c>
      <c r="AF10" s="7">
        <v>2600</v>
      </c>
    </row>
    <row r="11" ht="15" customHeight="1" spans="1:32" x14ac:dyDescent="0.25">
      <c r="A11" s="8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21340</v>
      </c>
      <c r="G11" s="9">
        <v>0</v>
      </c>
      <c r="H11" s="9">
        <v>0</v>
      </c>
      <c r="I11" s="9">
        <v>0</v>
      </c>
      <c r="J11" s="9">
        <v>373.45</v>
      </c>
      <c r="K11" s="9">
        <v>0</v>
      </c>
      <c r="L11" s="9">
        <v>21340</v>
      </c>
      <c r="M11" s="9">
        <v>0</v>
      </c>
      <c r="N11" s="9">
        <v>0</v>
      </c>
      <c r="O11" s="9">
        <v>0</v>
      </c>
      <c r="P11" s="9">
        <v>0</v>
      </c>
      <c r="Q11" s="9">
        <v>11880</v>
      </c>
      <c r="R11" s="9">
        <v>0</v>
      </c>
      <c r="S11" s="9">
        <v>0</v>
      </c>
      <c r="T11" s="9">
        <v>0</v>
      </c>
      <c r="U11" s="9">
        <v>0</v>
      </c>
      <c r="V11" s="9">
        <v>11880</v>
      </c>
      <c r="W11" s="9">
        <v>9460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11880</v>
      </c>
      <c r="AF11" s="9">
        <v>11880</v>
      </c>
    </row>
    <row r="12" ht="15" customHeight="1" spans="1:32" x14ac:dyDescent="0.25">
      <c r="A12" s="6" t="s">
        <v>34</v>
      </c>
      <c r="B12" s="7">
        <v>0</v>
      </c>
      <c r="C12" s="7">
        <v>0</v>
      </c>
      <c r="D12" s="7">
        <v>0</v>
      </c>
      <c r="E12" s="7">
        <v>0</v>
      </c>
      <c r="F12" s="7">
        <v>64888</v>
      </c>
      <c r="G12" s="7">
        <v>0</v>
      </c>
      <c r="H12" s="7">
        <v>12003</v>
      </c>
      <c r="I12" s="7">
        <v>0</v>
      </c>
      <c r="J12" s="7">
        <v>765.01</v>
      </c>
      <c r="K12" s="7">
        <v>0</v>
      </c>
      <c r="L12" s="7">
        <v>52885</v>
      </c>
      <c r="M12" s="7">
        <v>8</v>
      </c>
      <c r="N12" s="7">
        <v>0</v>
      </c>
      <c r="O12" s="7">
        <v>0</v>
      </c>
      <c r="P12" s="7">
        <v>0</v>
      </c>
      <c r="Q12" s="7">
        <v>13770.4</v>
      </c>
      <c r="R12" s="7">
        <v>0</v>
      </c>
      <c r="S12" s="7">
        <v>0</v>
      </c>
      <c r="T12" s="7">
        <v>0</v>
      </c>
      <c r="U12" s="7">
        <v>1.2</v>
      </c>
      <c r="V12" s="7">
        <v>13778.4</v>
      </c>
      <c r="W12" s="7">
        <v>39106.6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13778.4</v>
      </c>
      <c r="AF12" s="7">
        <v>13778.4</v>
      </c>
    </row>
    <row r="13" ht="15" customHeight="1" spans="1:32" x14ac:dyDescent="0.25">
      <c r="A13" s="8" t="s">
        <v>35</v>
      </c>
      <c r="B13" s="9">
        <v>704</v>
      </c>
      <c r="C13" s="9">
        <v>0</v>
      </c>
      <c r="D13" s="9">
        <v>0</v>
      </c>
      <c r="E13" s="9">
        <v>0</v>
      </c>
      <c r="F13" s="9">
        <v>50031</v>
      </c>
      <c r="G13" s="9">
        <v>0</v>
      </c>
      <c r="H13" s="9">
        <v>2776.5</v>
      </c>
      <c r="I13" s="9">
        <v>0</v>
      </c>
      <c r="J13" s="9">
        <v>755.95</v>
      </c>
      <c r="K13" s="9">
        <v>0</v>
      </c>
      <c r="L13" s="9">
        <v>47958.5</v>
      </c>
      <c r="M13" s="9">
        <v>13.02</v>
      </c>
      <c r="N13" s="9">
        <v>0</v>
      </c>
      <c r="O13" s="9">
        <v>0</v>
      </c>
      <c r="P13" s="9">
        <v>0</v>
      </c>
      <c r="Q13" s="9">
        <v>39197</v>
      </c>
      <c r="R13" s="9">
        <v>0</v>
      </c>
      <c r="S13" s="9">
        <v>0</v>
      </c>
      <c r="T13" s="9">
        <v>0</v>
      </c>
      <c r="U13" s="9">
        <v>1.95</v>
      </c>
      <c r="V13" s="9">
        <v>39210.02</v>
      </c>
      <c r="W13" s="9">
        <v>8748.48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39210.02</v>
      </c>
      <c r="AF13" s="9">
        <v>39210.02</v>
      </c>
    </row>
    <row r="14" ht="15" customHeight="1" spans="1:32" x14ac:dyDescent="0.25">
      <c r="A14" s="6" t="s">
        <v>36</v>
      </c>
      <c r="B14" s="7">
        <v>0</v>
      </c>
      <c r="C14" s="7">
        <v>0</v>
      </c>
      <c r="D14" s="7">
        <v>0</v>
      </c>
      <c r="E14" s="7">
        <v>0</v>
      </c>
      <c r="F14" s="7">
        <v>57104</v>
      </c>
      <c r="G14" s="7">
        <v>0</v>
      </c>
      <c r="H14" s="7">
        <v>7350</v>
      </c>
      <c r="I14" s="7">
        <v>0</v>
      </c>
      <c r="J14" s="7">
        <v>870.7</v>
      </c>
      <c r="K14" s="7">
        <v>0</v>
      </c>
      <c r="L14" s="7">
        <v>49754</v>
      </c>
      <c r="M14" s="7">
        <v>166.81</v>
      </c>
      <c r="N14" s="7">
        <v>0</v>
      </c>
      <c r="O14" s="7">
        <v>0</v>
      </c>
      <c r="P14" s="7">
        <v>0</v>
      </c>
      <c r="Q14" s="7">
        <v>40532</v>
      </c>
      <c r="R14" s="7">
        <v>0</v>
      </c>
      <c r="S14" s="7">
        <v>0</v>
      </c>
      <c r="T14" s="7">
        <v>0</v>
      </c>
      <c r="U14" s="7">
        <v>25.02</v>
      </c>
      <c r="V14" s="7">
        <v>40698.81</v>
      </c>
      <c r="W14" s="7">
        <v>9055.19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40698.81</v>
      </c>
      <c r="AF14" s="7">
        <v>40698.81</v>
      </c>
    </row>
    <row r="15" ht="15" customHeight="1" spans="1:32" x14ac:dyDescent="0.25">
      <c r="A15" s="8" t="s">
        <v>37</v>
      </c>
      <c r="B15" s="9">
        <v>0</v>
      </c>
      <c r="C15" s="9">
        <v>0</v>
      </c>
      <c r="D15" s="9">
        <v>0</v>
      </c>
      <c r="E15" s="9">
        <v>0</v>
      </c>
      <c r="F15" s="9">
        <v>44250</v>
      </c>
      <c r="G15" s="9">
        <v>0</v>
      </c>
      <c r="H15" s="9">
        <v>0</v>
      </c>
      <c r="I15" s="9">
        <v>0</v>
      </c>
      <c r="J15" s="9">
        <v>774.38</v>
      </c>
      <c r="K15" s="9">
        <v>0</v>
      </c>
      <c r="L15" s="9">
        <v>44250</v>
      </c>
      <c r="M15" s="9">
        <v>114.19</v>
      </c>
      <c r="N15" s="9">
        <v>0</v>
      </c>
      <c r="O15" s="9">
        <v>0</v>
      </c>
      <c r="P15" s="9">
        <v>0</v>
      </c>
      <c r="Q15" s="9">
        <v>40395</v>
      </c>
      <c r="R15" s="9">
        <v>0</v>
      </c>
      <c r="S15" s="9">
        <v>186</v>
      </c>
      <c r="T15" s="9">
        <v>0</v>
      </c>
      <c r="U15" s="9">
        <v>17.13</v>
      </c>
      <c r="V15" s="9">
        <v>40323.19</v>
      </c>
      <c r="W15" s="9">
        <v>3926.81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40509.19</v>
      </c>
      <c r="AF15" s="9">
        <v>40509.19</v>
      </c>
    </row>
    <row r="16" ht="15" customHeight="1" spans="1:32" x14ac:dyDescent="0.25">
      <c r="A16" s="6" t="s">
        <v>38</v>
      </c>
      <c r="B16" s="7">
        <v>0</v>
      </c>
      <c r="C16" s="7">
        <v>0</v>
      </c>
      <c r="D16" s="7">
        <v>0</v>
      </c>
      <c r="E16" s="7">
        <v>0</v>
      </c>
      <c r="F16" s="7">
        <v>52690</v>
      </c>
      <c r="G16" s="7">
        <v>0</v>
      </c>
      <c r="H16" s="7">
        <v>0</v>
      </c>
      <c r="I16" s="7">
        <v>0</v>
      </c>
      <c r="J16" s="7">
        <v>922.08</v>
      </c>
      <c r="K16" s="7">
        <v>0</v>
      </c>
      <c r="L16" s="7">
        <v>52690</v>
      </c>
      <c r="M16" s="7">
        <v>213.44</v>
      </c>
      <c r="N16" s="7">
        <v>0</v>
      </c>
      <c r="O16" s="7">
        <v>0</v>
      </c>
      <c r="P16" s="7">
        <v>0</v>
      </c>
      <c r="Q16" s="7">
        <v>65037.16</v>
      </c>
      <c r="R16" s="7">
        <v>0</v>
      </c>
      <c r="S16" s="7">
        <v>0</v>
      </c>
      <c r="T16" s="7">
        <v>0</v>
      </c>
      <c r="U16" s="7">
        <v>32.02</v>
      </c>
      <c r="V16" s="7">
        <v>65250.6</v>
      </c>
      <c r="W16" s="7">
        <v>-12560.6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65250.6</v>
      </c>
      <c r="AF16" s="7">
        <v>65250.6</v>
      </c>
    </row>
    <row r="17" ht="15" customHeight="1" spans="1:32" x14ac:dyDescent="0.25">
      <c r="A17" s="8" t="s">
        <v>39</v>
      </c>
      <c r="B17" s="9">
        <v>0</v>
      </c>
      <c r="C17" s="9">
        <v>0</v>
      </c>
      <c r="D17" s="9">
        <v>0</v>
      </c>
      <c r="E17" s="9">
        <v>0</v>
      </c>
      <c r="F17" s="9">
        <v>103875</v>
      </c>
      <c r="G17" s="9">
        <v>0</v>
      </c>
      <c r="H17" s="9">
        <v>0</v>
      </c>
      <c r="I17" s="9">
        <v>0</v>
      </c>
      <c r="J17" s="9">
        <v>1374.28</v>
      </c>
      <c r="K17" s="9">
        <v>0</v>
      </c>
      <c r="L17" s="9">
        <v>103875</v>
      </c>
      <c r="M17" s="9">
        <v>2403.21</v>
      </c>
      <c r="N17" s="9">
        <v>0</v>
      </c>
      <c r="O17" s="9">
        <v>0</v>
      </c>
      <c r="P17" s="9">
        <v>0</v>
      </c>
      <c r="Q17" s="9">
        <v>125659.7</v>
      </c>
      <c r="R17" s="9">
        <v>0</v>
      </c>
      <c r="S17" s="9">
        <v>0</v>
      </c>
      <c r="T17" s="9">
        <v>0</v>
      </c>
      <c r="U17" s="9">
        <v>360.48</v>
      </c>
      <c r="V17" s="9">
        <v>128062.91</v>
      </c>
      <c r="W17" s="9">
        <v>-24187.91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128062.91</v>
      </c>
      <c r="AF17" s="9">
        <v>128062.91</v>
      </c>
    </row>
    <row r="18" ht="18" customHeight="1" spans="1:32" x14ac:dyDescent="0.25">
      <c r="A18" s="10" t="s">
        <v>40</v>
      </c>
      <c r="B18" s="11">
        <f>SUM(B6:B17)</f>
        <v>704</v>
      </c>
      <c r="C18" s="11">
        <f>SUM(C6:C17)</f>
        <v>0</v>
      </c>
      <c r="D18" s="11">
        <f>SUM(D6:D17)</f>
        <v>0</v>
      </c>
      <c r="E18" s="11">
        <f>SUM(E6:E17)</f>
        <v>0</v>
      </c>
      <c r="F18" s="11">
        <f>SUM(F6:F17)</f>
        <v>394178</v>
      </c>
      <c r="G18" s="11">
        <f>SUM(G6:G17)</f>
        <v>0</v>
      </c>
      <c r="H18" s="11">
        <f>SUM(H6:H17)</f>
        <v>22129.5</v>
      </c>
      <c r="I18" s="11">
        <f>SUM(I6:I17)</f>
        <v>0</v>
      </c>
      <c r="J18" s="11">
        <f>SUM(J6:J17)</f>
        <v>5835.85</v>
      </c>
      <c r="K18" s="11">
        <f>SUM(K6:K17)</f>
        <v>0</v>
      </c>
      <c r="L18" s="11">
        <f>SUM(L6:L17)</f>
        <v>372752.5</v>
      </c>
      <c r="M18" s="11">
        <f>SUM(M6:M17)</f>
        <v>3153.04</v>
      </c>
      <c r="N18" s="11">
        <f>SUM(N6:N17)</f>
        <v>0</v>
      </c>
      <c r="O18" s="11">
        <f>SUM(O6:O17)</f>
        <v>0</v>
      </c>
      <c r="P18" s="11">
        <f>SUM(P6:P17)</f>
        <v>0</v>
      </c>
      <c r="Q18" s="11">
        <f>SUM(Q6:Q17)</f>
        <v>339071.26</v>
      </c>
      <c r="R18" s="11">
        <f>SUM(R6:R17)</f>
        <v>0</v>
      </c>
      <c r="S18" s="11">
        <f>SUM(S6:S17)</f>
        <v>186</v>
      </c>
      <c r="T18" s="11">
        <f>SUM(T6:T17)</f>
        <v>0</v>
      </c>
      <c r="U18" s="11">
        <f>SUM(U6:U17)</f>
        <v>472.96</v>
      </c>
      <c r="V18" s="11">
        <f>SUM(V6:V17)</f>
        <v>342038.3</v>
      </c>
      <c r="W18" s="11">
        <f>SUM(W6:W17)</f>
        <v>0</v>
      </c>
      <c r="X18" s="11">
        <f>SUM(X6:X17)</f>
        <v>0</v>
      </c>
      <c r="Y18" s="11">
        <f>SUM(Y6:Y17)</f>
        <v>0</v>
      </c>
      <c r="Z18" s="11">
        <f>SUM(Z6:Z17)</f>
        <v>0</v>
      </c>
      <c r="AA18" s="11">
        <f>SUM(AA6:AA17)</f>
        <v>0</v>
      </c>
      <c r="AB18" s="11">
        <f>SUM(AB6:AB17)</f>
        <v>0</v>
      </c>
      <c r="AC18" s="11">
        <f>SUM(AC6:AC17)</f>
        <v>0</v>
      </c>
      <c r="AD18" s="11">
        <f>SUM(AD6:AD17)</f>
        <v>0</v>
      </c>
      <c r="AE18" s="11">
        <f>SUM(AE6:AE17)</f>
        <v>342224.3</v>
      </c>
      <c r="AF18" s="11">
        <f>SUM(AF6:AF17)</f>
        <v>342224.3</v>
      </c>
    </row>
  </sheetData>
  <mergeCells count="10">
    <mergeCell ref="A1:AF1"/>
    <mergeCell ref="A2:AF2"/>
    <mergeCell ref="B3:AD3"/>
    <mergeCell ref="AE3:AF3"/>
    <mergeCell ref="A3:A5"/>
    <mergeCell ref="B4:L4"/>
    <mergeCell ref="M4:V4"/>
    <mergeCell ref="X4:AD4"/>
    <mergeCell ref="AE4:AF4"/>
    <mergeCell ref="W4:W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EXA ERP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 Control Tributario</dc:creator>
  <dc:title/>
  <dc:subject/>
  <dc:description/>
  <cp:keywords/>
  <cp:category/>
  <cp:lastModifiedBy>Unknown</cp:lastModifiedBy>
  <dcterms:created xsi:type="dcterms:W3CDTF">2026-07-09T19:58:37Z</dcterms:created>
  <dcterms:modified xsi:type="dcterms:W3CDTF">2026-07-09T19:58:37Z</dcterms:modified>
</cp:coreProperties>
</file>