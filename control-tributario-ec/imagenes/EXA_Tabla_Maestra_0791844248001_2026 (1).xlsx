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7E64A63-BFBF-4193-A907-4A9C13D112CB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abla Maestra" sheetId="1" r:id="rId1"/>
    <sheet name="AUDITO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4" i="2" l="1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L17" i="2"/>
  <c r="K17" i="2"/>
  <c r="J17" i="2"/>
  <c r="I17" i="2"/>
  <c r="H17" i="2"/>
  <c r="F17" i="2"/>
  <c r="E17" i="2"/>
  <c r="D17" i="2"/>
  <c r="C17" i="2"/>
  <c r="B17" i="2"/>
  <c r="M16" i="2"/>
  <c r="G16" i="2"/>
  <c r="M15" i="2"/>
  <c r="G15" i="2"/>
  <c r="M14" i="2"/>
  <c r="G14" i="2"/>
  <c r="M13" i="2"/>
  <c r="G13" i="2"/>
  <c r="M12" i="2"/>
  <c r="G12" i="2"/>
  <c r="M11" i="2"/>
  <c r="G11" i="2"/>
  <c r="M10" i="2"/>
  <c r="G10" i="2"/>
  <c r="M9" i="2"/>
  <c r="G9" i="2"/>
  <c r="M8" i="2"/>
  <c r="G8" i="2"/>
  <c r="M7" i="2"/>
  <c r="G7" i="2"/>
  <c r="M6" i="2"/>
  <c r="G6" i="2"/>
  <c r="M5" i="2"/>
  <c r="G5" i="2"/>
  <c r="G17" i="2" s="1"/>
  <c r="X17" i="1"/>
  <c r="W17" i="1"/>
  <c r="V17" i="1"/>
  <c r="U17" i="1"/>
  <c r="T17" i="1"/>
  <c r="S17" i="1"/>
  <c r="R17" i="1"/>
  <c r="Q17" i="1"/>
  <c r="P17" i="1"/>
  <c r="O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G16" i="1"/>
  <c r="N15" i="1"/>
  <c r="M15" i="1"/>
  <c r="G15" i="1"/>
  <c r="N14" i="1"/>
  <c r="M14" i="1"/>
  <c r="G14" i="1"/>
  <c r="N13" i="1"/>
  <c r="M13" i="1"/>
  <c r="G13" i="1"/>
  <c r="N12" i="1"/>
  <c r="M12" i="1"/>
  <c r="G12" i="1"/>
  <c r="N11" i="1"/>
  <c r="M11" i="1"/>
  <c r="G11" i="1"/>
  <c r="N10" i="1"/>
  <c r="M10" i="1"/>
  <c r="G10" i="1"/>
  <c r="N9" i="1"/>
  <c r="M9" i="1"/>
  <c r="G9" i="1"/>
  <c r="N8" i="1"/>
  <c r="M8" i="1"/>
  <c r="G8" i="1"/>
  <c r="N7" i="1"/>
  <c r="N17" i="1" s="1"/>
  <c r="M7" i="1"/>
  <c r="G7" i="1"/>
  <c r="N6" i="1"/>
  <c r="M6" i="1"/>
  <c r="G6" i="1"/>
  <c r="N5" i="1"/>
  <c r="M5" i="1"/>
  <c r="G5" i="1"/>
  <c r="M17" i="2" l="1"/>
</calcChain>
</file>

<file path=xl/sharedStrings.xml><?xml version="1.0" encoding="utf-8"?>
<sst xmlns="http://schemas.openxmlformats.org/spreadsheetml/2006/main" count="165" uniqueCount="91">
  <si>
    <t>EXA Control Tributario -- Tabla Maestra 2026</t>
  </si>
  <si>
    <t>RUC: 0791844248001  |  MARJOMAR S.A.S.  |  Generado: 09/07/2026</t>
  </si>
  <si>
    <t>Mes</t>
  </si>
  <si>
    <t>Form. 104 Ventas</t>
  </si>
  <si>
    <t>FORM. 104 COMPRAS</t>
  </si>
  <si>
    <t>RESULTADO</t>
  </si>
  <si>
    <t>Liquidación IVA</t>
  </si>
  <si>
    <t>Form. 103 (Sin datos)</t>
  </si>
  <si>
    <t>IESS / Nómina</t>
  </si>
  <si>
    <t>Resumen</t>
  </si>
  <si>
    <t>401 V. Bruto 15%</t>
  </si>
  <si>
    <t>403 V. Bruto 0%</t>
  </si>
  <si>
    <t>N/C 15%</t>
  </si>
  <si>
    <t>N/C 0%</t>
  </si>
  <si>
    <t>429 IVA Gen.</t>
  </si>
  <si>
    <t>TOTAL V. NETAS</t>
  </si>
  <si>
    <t>TARIFA 15%</t>
  </si>
  <si>
    <t>TARIFA 0%</t>
  </si>
  <si>
    <t>I.V.A.</t>
  </si>
  <si>
    <t>TOTAL NETO</t>
  </si>
  <si>
    <t>V - C</t>
  </si>
  <si>
    <t>999 Pagado</t>
  </si>
  <si>
    <t>Total F103</t>
  </si>
  <si>
    <t>Nómina Bruta</t>
  </si>
  <si>
    <t>Pat. 11.15%</t>
  </si>
  <si>
    <t>Ind. 9.45%</t>
  </si>
  <si>
    <t>CCC 1%</t>
  </si>
  <si>
    <t>Prov. 13/14</t>
  </si>
  <si>
    <t>Prov. Vac</t>
  </si>
  <si>
    <t>Total Pagado</t>
  </si>
  <si>
    <t>Estado</t>
  </si>
  <si>
    <t>Enero</t>
  </si>
  <si>
    <t>Falta PDF</t>
  </si>
  <si>
    <t>Febrero</t>
  </si>
  <si>
    <t>Marzo</t>
  </si>
  <si>
    <t>Cumplida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</si>
  <si>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</si>
  <si>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</si>
  <si>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</si>
  <si>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</si>
  <si>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</si>
  <si>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</si>
  <si>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</si>
  <si>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</si>
  <si>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</si>
  <si>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</si>
  <si>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 xml:space="preserve">TABLA MAESTRA </t>
  </si>
  <si>
    <t>VENTAS</t>
  </si>
  <si>
    <t>COMPRAS</t>
  </si>
  <si>
    <t>BI 15%</t>
  </si>
  <si>
    <t>BI 12%</t>
  </si>
  <si>
    <t>BI 8%</t>
  </si>
  <si>
    <t>BI 5%</t>
  </si>
  <si>
    <t>BI 0%</t>
  </si>
  <si>
    <t>N/D</t>
  </si>
  <si>
    <t>N/C</t>
  </si>
  <si>
    <t>I. RENTA</t>
  </si>
  <si>
    <t>RET. IVA</t>
  </si>
  <si>
    <t>TOTAL</t>
  </si>
  <si>
    <t>IMPOR.</t>
  </si>
  <si>
    <t>Detalle EXA ERP</t>
  </si>
  <si>
    <t>VENTAS ATS</t>
  </si>
  <si>
    <t>COMPRAS ATS</t>
  </si>
  <si>
    <t>401 V. BRUTO 15%</t>
  </si>
  <si>
    <t>403 V. BRUTO 0%</t>
  </si>
  <si>
    <t>429 IVA GEN.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</si>
  <si>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</si>
  <si>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</si>
  <si>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</si>
  <si>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</si>
  <si>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</si>
  <si>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</si>
  <si>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</si>
  <si>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</si>
  <si>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</si>
  <si>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</si>
  <si>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</si>
  <si>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</si>
  <si>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</t>
  </si>
  <si>
    <t>MES</t>
  </si>
  <si>
    <t>Resumen ATS</t>
  </si>
  <si>
    <t>VENTA MAESTRA</t>
  </si>
  <si>
    <t>VENTA EXA</t>
  </si>
  <si>
    <t xml:space="preserve">VENTA ATS </t>
  </si>
  <si>
    <t xml:space="preserve">AUDITORIA VENTA </t>
  </si>
  <si>
    <t xml:space="preserve">DESCUADRE observacion  </t>
  </si>
  <si>
    <t xml:space="preserve">cuadra tabla maestra con exa/ pero tabla maestra con venta no cuadra con ats la variacion es de 920,00 mas en ats </t>
  </si>
  <si>
    <t xml:space="preserve">AUDITORIA COMPRA </t>
  </si>
  <si>
    <t>COMPRA MAESTRA</t>
  </si>
  <si>
    <t>COMPRA EXA</t>
  </si>
  <si>
    <t xml:space="preserve">COMPRA ATS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</si>
</sst>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\$#,##0.00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B0C4DE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5F6F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thin">
        <color rgb="FFBDC3C7"/>
      </bottom>
      <diagonal/>
    </border>
    <border>
      <left/>
      <right style="thin">
        <color rgb="FFBDC3C7"/>
      </right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indent="1"/>
    </xf>
    <xf numFmtId="164" fontId="6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indent="1"/>
    </xf>
    <xf numFmtId="164" fontId="6" fillId="6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indent="1"/>
    </xf>
    <xf numFmtId="164" fontId="4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7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4" fontId="0" fillId="0" borderId="0" xfId="0" applyNumberFormat="1"/>
    <xf numFmtId="44" fontId="6" fillId="5" borderId="1" xfId="0" applyNumberFormat="1" applyFont="1" applyFill="1" applyBorder="1" applyAlignment="1">
      <alignment horizontal="right" vertical="center"/>
    </xf>
    <xf numFmtId="44" fontId="0" fillId="0" borderId="0" xfId="0" applyNumberFormat="1"/>
    <xf numFmtId="44" fontId="6" fillId="6" borderId="1" xfId="0" applyNumberFormat="1" applyFont="1" applyFill="1" applyBorder="1" applyAlignment="1">
      <alignment horizontal="right" vertical="center"/>
    </xf>
    <xf numFmtId="44" fontId="4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workbookViewId="0">
      <pane xSplit="1" ySplit="5" topLeftCell="B6" activePane="bottomRight" state="frozen"/>
      <selection pane="topRight"/>
      <selection pane="bottomLeft"/>
      <selection pane="bottomRight" activeCell="B3" sqref="B3:M17"/>
    </sheetView>
  </sheetViews>
  <sheetFormatPr baseColWidth="10" defaultColWidth="9.140625" defaultRowHeight="15" x14ac:dyDescent="0.25"/>
  <cols>
    <col min="1" max="1" width="15" customWidth="1"/>
    <col min="2" max="24" width="10" customWidth="1"/>
  </cols>
  <sheetData>
    <row r="1" spans="1:24" ht="24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4.1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18" customHeight="1" x14ac:dyDescent="0.25">
      <c r="A3" s="12" t="s">
        <v>2</v>
      </c>
      <c r="B3" s="11" t="s">
        <v>3</v>
      </c>
      <c r="C3" s="11"/>
      <c r="D3" s="11"/>
      <c r="E3" s="11"/>
      <c r="F3" s="11"/>
      <c r="G3" s="11"/>
      <c r="H3" s="11" t="s">
        <v>4</v>
      </c>
      <c r="I3" s="11"/>
      <c r="J3" s="11"/>
      <c r="K3" s="11"/>
      <c r="L3" s="11"/>
      <c r="M3" s="11"/>
      <c r="N3" s="1" t="s">
        <v>5</v>
      </c>
      <c r="O3" s="1" t="s">
        <v>6</v>
      </c>
      <c r="P3" s="1" t="s">
        <v>7</v>
      </c>
      <c r="Q3" s="11" t="s">
        <v>8</v>
      </c>
      <c r="R3" s="11"/>
      <c r="S3" s="11"/>
      <c r="T3" s="11"/>
      <c r="U3" s="11"/>
      <c r="V3" s="11"/>
      <c r="W3" s="11" t="s">
        <v>9</v>
      </c>
      <c r="X3" s="11"/>
    </row>
    <row r="4" spans="1:24" ht="27.95" customHeight="1" x14ac:dyDescent="0.25">
      <c r="A4" s="12"/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12</v>
      </c>
      <c r="K4" s="2" t="s">
        <v>13</v>
      </c>
      <c r="L4" s="2" t="s">
        <v>18</v>
      </c>
      <c r="M4" s="2" t="s">
        <v>19</v>
      </c>
      <c r="N4" s="2" t="s">
        <v>20</v>
      </c>
      <c r="O4" s="2" t="s">
        <v>21</v>
      </c>
      <c r="P4" s="2" t="s">
        <v>22</v>
      </c>
      <c r="Q4" s="2" t="s">
        <v>23</v>
      </c>
      <c r="R4" s="2" t="s">
        <v>24</v>
      </c>
      <c r="S4" s="2" t="s">
        <v>25</v>
      </c>
      <c r="T4" s="2" t="s">
        <v>26</v>
      </c>
      <c r="U4" s="2" t="s">
        <v>27</v>
      </c>
      <c r="V4" s="2" t="s">
        <v>28</v>
      </c>
      <c r="W4" s="2" t="s">
        <v>29</v>
      </c>
      <c r="X4" s="2" t="s">
        <v>30</v>
      </c>
    </row>
    <row r="5" spans="1:24" ht="15" customHeight="1" x14ac:dyDescent="0.25">
      <c r="A5" s="3" t="s">
        <v>31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f t="shared" ref="G5:G16" si="0">B5+C5-D5-E5</f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f t="shared" ref="M5:M16" si="1">H5+I5-J5-K5</f>
        <v>0</v>
      </c>
      <c r="N5" s="4">
        <f t="shared" ref="N5:N16" si="2">G5-M5</f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 t="s">
        <v>32</v>
      </c>
      <c r="X5" s="4">
        <v>0</v>
      </c>
    </row>
    <row r="6" spans="1:24" ht="15" customHeight="1" x14ac:dyDescent="0.25">
      <c r="A6" s="5" t="s">
        <v>33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f t="shared" si="0"/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f t="shared" si="1"/>
        <v>0</v>
      </c>
      <c r="N6" s="6">
        <f t="shared" si="2"/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 t="s">
        <v>32</v>
      </c>
      <c r="X6" s="6">
        <v>0</v>
      </c>
    </row>
    <row r="7" spans="1:24" ht="15" customHeight="1" x14ac:dyDescent="0.25">
      <c r="A7" s="3" t="s">
        <v>34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f t="shared" si="0"/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f t="shared" si="1"/>
        <v>0</v>
      </c>
      <c r="N7" s="4">
        <f t="shared" si="2"/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 t="s">
        <v>35</v>
      </c>
      <c r="X7" s="4">
        <v>0</v>
      </c>
    </row>
    <row r="8" spans="1:24" ht="15" customHeight="1" x14ac:dyDescent="0.25">
      <c r="A8" s="5" t="s">
        <v>36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f t="shared" si="0"/>
        <v>0</v>
      </c>
      <c r="H8" s="6">
        <v>234.37</v>
      </c>
      <c r="I8" s="6">
        <v>0</v>
      </c>
      <c r="J8" s="6">
        <v>0</v>
      </c>
      <c r="K8" s="6">
        <v>0</v>
      </c>
      <c r="L8" s="6">
        <v>35.159999999999997</v>
      </c>
      <c r="M8" s="6">
        <f t="shared" si="1"/>
        <v>234.37</v>
      </c>
      <c r="N8" s="6">
        <f t="shared" si="2"/>
        <v>-234.37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 t="s">
        <v>35</v>
      </c>
      <c r="X8" s="6">
        <v>0</v>
      </c>
    </row>
    <row r="9" spans="1:24" ht="15" customHeight="1" x14ac:dyDescent="0.25">
      <c r="A9" s="3" t="s">
        <v>37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f t="shared" si="0"/>
        <v>0</v>
      </c>
      <c r="H9" s="4">
        <v>0</v>
      </c>
      <c r="I9" s="4">
        <v>2600</v>
      </c>
      <c r="J9" s="4">
        <v>0</v>
      </c>
      <c r="K9" s="4">
        <v>0</v>
      </c>
      <c r="L9" s="4">
        <v>0</v>
      </c>
      <c r="M9" s="4">
        <f t="shared" si="1"/>
        <v>2600</v>
      </c>
      <c r="N9" s="4">
        <f t="shared" si="2"/>
        <v>-2600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 t="s">
        <v>35</v>
      </c>
      <c r="X9" s="4">
        <v>0</v>
      </c>
    </row>
    <row r="10" spans="1:24" ht="15" customHeight="1" x14ac:dyDescent="0.25">
      <c r="A10" s="5" t="s">
        <v>38</v>
      </c>
      <c r="B10" s="6">
        <v>0</v>
      </c>
      <c r="C10" s="6">
        <v>21340</v>
      </c>
      <c r="D10" s="6">
        <v>0</v>
      </c>
      <c r="E10" s="6">
        <v>0</v>
      </c>
      <c r="F10" s="6">
        <v>0</v>
      </c>
      <c r="G10" s="6">
        <f t="shared" si="0"/>
        <v>21340</v>
      </c>
      <c r="H10" s="6">
        <v>0</v>
      </c>
      <c r="I10" s="6">
        <v>11880</v>
      </c>
      <c r="J10" s="6">
        <v>0</v>
      </c>
      <c r="K10" s="6">
        <v>0</v>
      </c>
      <c r="L10" s="6">
        <v>0</v>
      </c>
      <c r="M10" s="6">
        <f t="shared" si="1"/>
        <v>11880</v>
      </c>
      <c r="N10" s="6">
        <f t="shared" si="2"/>
        <v>9460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 t="s">
        <v>35</v>
      </c>
      <c r="X10" s="6">
        <v>0</v>
      </c>
    </row>
    <row r="11" spans="1:24" ht="15" customHeight="1" x14ac:dyDescent="0.25">
      <c r="A11" s="3" t="s">
        <v>39</v>
      </c>
      <c r="B11" s="4">
        <v>0</v>
      </c>
      <c r="C11" s="4">
        <v>64888</v>
      </c>
      <c r="D11" s="4">
        <v>0</v>
      </c>
      <c r="E11" s="4">
        <v>12003</v>
      </c>
      <c r="F11" s="4">
        <v>0</v>
      </c>
      <c r="G11" s="4">
        <f t="shared" si="0"/>
        <v>52885</v>
      </c>
      <c r="H11" s="4">
        <v>8</v>
      </c>
      <c r="I11" s="4">
        <v>13770.4</v>
      </c>
      <c r="J11" s="4">
        <v>0</v>
      </c>
      <c r="K11" s="4">
        <v>0</v>
      </c>
      <c r="L11" s="4">
        <v>1.2</v>
      </c>
      <c r="M11" s="4">
        <f t="shared" si="1"/>
        <v>13778.4</v>
      </c>
      <c r="N11" s="4">
        <f t="shared" si="2"/>
        <v>39106.6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 t="s">
        <v>35</v>
      </c>
      <c r="X11" s="4">
        <v>0</v>
      </c>
    </row>
    <row r="12" spans="1:24" ht="15" customHeight="1" x14ac:dyDescent="0.25">
      <c r="A12" s="5" t="s">
        <v>40</v>
      </c>
      <c r="B12" s="6">
        <v>704</v>
      </c>
      <c r="C12" s="6">
        <v>50031</v>
      </c>
      <c r="D12" s="6">
        <v>704</v>
      </c>
      <c r="E12" s="6">
        <v>2072.5</v>
      </c>
      <c r="F12" s="6">
        <v>0</v>
      </c>
      <c r="G12" s="6">
        <f t="shared" si="0"/>
        <v>47958.5</v>
      </c>
      <c r="H12" s="6">
        <v>13.02</v>
      </c>
      <c r="I12" s="6">
        <v>39197</v>
      </c>
      <c r="J12" s="6">
        <v>0</v>
      </c>
      <c r="K12" s="6">
        <v>0</v>
      </c>
      <c r="L12" s="6">
        <v>1.95</v>
      </c>
      <c r="M12" s="6">
        <f t="shared" si="1"/>
        <v>39210.019999999997</v>
      </c>
      <c r="N12" s="6">
        <f t="shared" si="2"/>
        <v>8748.4800000000032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50.74</v>
      </c>
      <c r="W12" s="6" t="s">
        <v>35</v>
      </c>
      <c r="X12" s="6">
        <v>0</v>
      </c>
    </row>
    <row r="13" spans="1:24" ht="15" customHeight="1" x14ac:dyDescent="0.25">
      <c r="A13" s="3" t="s">
        <v>41</v>
      </c>
      <c r="B13" s="4">
        <v>0</v>
      </c>
      <c r="C13" s="4">
        <v>57104</v>
      </c>
      <c r="D13" s="4">
        <v>0</v>
      </c>
      <c r="E13" s="4">
        <v>7350</v>
      </c>
      <c r="F13" s="4">
        <v>0</v>
      </c>
      <c r="G13" s="4">
        <f t="shared" si="0"/>
        <v>49754</v>
      </c>
      <c r="H13" s="4">
        <v>166.81</v>
      </c>
      <c r="I13" s="4">
        <v>40532</v>
      </c>
      <c r="J13" s="4">
        <v>0</v>
      </c>
      <c r="K13" s="4">
        <v>0</v>
      </c>
      <c r="L13" s="4">
        <v>25.02</v>
      </c>
      <c r="M13" s="4">
        <f t="shared" si="1"/>
        <v>40698.81</v>
      </c>
      <c r="N13" s="4">
        <f t="shared" si="2"/>
        <v>9055.1900000000023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 t="s">
        <v>35</v>
      </c>
      <c r="X13" s="4">
        <v>0</v>
      </c>
    </row>
    <row r="14" spans="1:24" ht="15" customHeight="1" x14ac:dyDescent="0.25">
      <c r="A14" s="5" t="s">
        <v>42</v>
      </c>
      <c r="B14" s="6">
        <v>0</v>
      </c>
      <c r="C14" s="6">
        <v>44250</v>
      </c>
      <c r="D14" s="6">
        <v>0</v>
      </c>
      <c r="E14" s="6">
        <v>0</v>
      </c>
      <c r="F14" s="6">
        <v>0</v>
      </c>
      <c r="G14" s="6">
        <f t="shared" si="0"/>
        <v>44250</v>
      </c>
      <c r="H14" s="6">
        <v>114.19</v>
      </c>
      <c r="I14" s="6">
        <v>40395</v>
      </c>
      <c r="J14" s="6">
        <v>0</v>
      </c>
      <c r="K14" s="6">
        <v>186</v>
      </c>
      <c r="L14" s="6">
        <v>17.13</v>
      </c>
      <c r="M14" s="6">
        <f t="shared" si="1"/>
        <v>40323.19</v>
      </c>
      <c r="N14" s="6">
        <f t="shared" si="2"/>
        <v>3926.8099999999977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 t="s">
        <v>35</v>
      </c>
      <c r="X14" s="6">
        <v>0</v>
      </c>
    </row>
    <row r="15" spans="1:24" ht="15" customHeight="1" x14ac:dyDescent="0.25">
      <c r="A15" s="3" t="s">
        <v>43</v>
      </c>
      <c r="B15" s="4">
        <v>0</v>
      </c>
      <c r="C15" s="4">
        <v>52690</v>
      </c>
      <c r="D15" s="4">
        <v>0</v>
      </c>
      <c r="E15" s="4">
        <v>0</v>
      </c>
      <c r="F15" s="4">
        <v>0</v>
      </c>
      <c r="G15" s="4">
        <f t="shared" si="0"/>
        <v>52690</v>
      </c>
      <c r="H15" s="4">
        <v>213.44</v>
      </c>
      <c r="I15" s="4">
        <v>64117.16</v>
      </c>
      <c r="J15" s="4">
        <v>0</v>
      </c>
      <c r="K15" s="4">
        <v>0</v>
      </c>
      <c r="L15" s="4">
        <v>32.020000000000003</v>
      </c>
      <c r="M15" s="4">
        <f t="shared" si="1"/>
        <v>64330.600000000006</v>
      </c>
      <c r="N15" s="4">
        <f t="shared" si="2"/>
        <v>-11640.600000000006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 t="s">
        <v>35</v>
      </c>
      <c r="X15" s="4">
        <v>0</v>
      </c>
    </row>
    <row r="16" spans="1:24" ht="15" customHeight="1" x14ac:dyDescent="0.25">
      <c r="A16" s="5" t="s">
        <v>44</v>
      </c>
      <c r="B16" s="6">
        <v>0</v>
      </c>
      <c r="C16" s="6">
        <v>103875</v>
      </c>
      <c r="D16" s="6">
        <v>0</v>
      </c>
      <c r="E16" s="6">
        <v>0</v>
      </c>
      <c r="F16" s="6">
        <v>0</v>
      </c>
      <c r="G16" s="6">
        <f t="shared" si="0"/>
        <v>103875</v>
      </c>
      <c r="H16" s="6">
        <v>2403.21</v>
      </c>
      <c r="I16" s="6">
        <v>125659.7</v>
      </c>
      <c r="J16" s="6">
        <v>0</v>
      </c>
      <c r="K16" s="6">
        <v>0</v>
      </c>
      <c r="L16" s="6">
        <v>360.48</v>
      </c>
      <c r="M16" s="6">
        <f t="shared" si="1"/>
        <v>128062.91</v>
      </c>
      <c r="N16" s="6">
        <f t="shared" si="2"/>
        <v>-24187.910000000003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 t="s">
        <v>35</v>
      </c>
      <c r="X16" s="6">
        <v>0</v>
      </c>
    </row>
    <row r="17" spans="1:24" ht="15.95" customHeight="1" x14ac:dyDescent="0.25">
      <c r="A17" s="7" t="s">
        <v>45</v>
      </c>
      <c r="B17" s="8">
        <f t="shared" ref="B17:X17" si="3">SUM(B5:B16)</f>
        <v>704</v>
      </c>
      <c r="C17" s="8">
        <f t="shared" si="3"/>
        <v>394178</v>
      </c>
      <c r="D17" s="8">
        <f t="shared" si="3"/>
        <v>704</v>
      </c>
      <c r="E17" s="8">
        <f t="shared" si="3"/>
        <v>21425.5</v>
      </c>
      <c r="F17" s="8">
        <f t="shared" si="3"/>
        <v>0</v>
      </c>
      <c r="G17" s="8">
        <f t="shared" si="3"/>
        <v>372752.5</v>
      </c>
      <c r="H17" s="8">
        <f t="shared" si="3"/>
        <v>3153.04</v>
      </c>
      <c r="I17" s="8">
        <f t="shared" si="3"/>
        <v>338151.26</v>
      </c>
      <c r="J17" s="8">
        <f t="shared" si="3"/>
        <v>0</v>
      </c>
      <c r="K17" s="8">
        <f t="shared" si="3"/>
        <v>186</v>
      </c>
      <c r="L17" s="8">
        <f t="shared" si="3"/>
        <v>472.96000000000004</v>
      </c>
      <c r="M17" s="8">
        <f t="shared" si="3"/>
        <v>341118.3</v>
      </c>
      <c r="N17" s="8">
        <f t="shared" si="3"/>
        <v>31634.199999999983</v>
      </c>
      <c r="O17" s="8">
        <f t="shared" si="3"/>
        <v>0</v>
      </c>
      <c r="P17" s="8">
        <f t="shared" si="3"/>
        <v>0</v>
      </c>
      <c r="Q17" s="8">
        <f t="shared" si="3"/>
        <v>0</v>
      </c>
      <c r="R17" s="8">
        <f t="shared" si="3"/>
        <v>0</v>
      </c>
      <c r="S17" s="8">
        <f t="shared" si="3"/>
        <v>0</v>
      </c>
      <c r="T17" s="8">
        <f t="shared" si="3"/>
        <v>0</v>
      </c>
      <c r="U17" s="8">
        <f t="shared" si="3"/>
        <v>0</v>
      </c>
      <c r="V17" s="8">
        <f t="shared" si="3"/>
        <v>50.74</v>
      </c>
      <c r="W17" s="8">
        <f t="shared" si="3"/>
        <v>0</v>
      </c>
      <c r="X17" s="8">
        <f t="shared" si="3"/>
        <v>0</v>
      </c>
    </row>
  </sheetData>
  <mergeCells count="7">
    <mergeCell ref="A1:X1"/>
    <mergeCell ref="A2:X2"/>
    <mergeCell ref="B3:G3"/>
    <mergeCell ref="H3:M3"/>
    <mergeCell ref="Q3:V3"/>
    <mergeCell ref="W3:X3"/>
    <mergeCell ref="A3:A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B89B-A2A8-4F59-952C-4EF20868F52B}">
  <dimension ref="A2:AT35"/>
  <sheetViews>
    <sheetView tabSelected="1" topLeftCell="A16" workbookViewId="0">
      <selection activeCell="N22" sqref="N22:N34"/>
    </sheetView>
  </sheetViews>
  <sheetFormatPr baseColWidth="10" defaultRowHeight="15" x14ac:dyDescent="0.25"/>
  <cols>
    <col min="8" max="8" width="16" bestFit="1" customWidth="1"/>
    <col min="9" max="10" width="12" bestFit="1" customWidth="1"/>
    <col min="11" max="11" width="23.7109375" bestFit="1" customWidth="1"/>
    <col min="13" max="13" width="17.85546875" bestFit="1" customWidth="1"/>
    <col min="14" max="14" width="12.7109375" bestFit="1" customWidth="1"/>
    <col min="15" max="15" width="13" bestFit="1" customWidth="1"/>
    <col min="16" max="16" width="23.7109375" bestFit="1" customWidth="1"/>
  </cols>
  <sheetData>
    <row r="2" spans="1:46" ht="23.25" x14ac:dyDescent="0.35">
      <c r="B2" s="18" t="s">
        <v>46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 t="s">
        <v>60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 t="s">
        <v>80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</row>
    <row r="3" spans="1:46" x14ac:dyDescent="0.25">
      <c r="A3" s="16" t="s">
        <v>79</v>
      </c>
      <c r="B3" s="11" t="s">
        <v>3</v>
      </c>
      <c r="C3" s="11"/>
      <c r="D3" s="11"/>
      <c r="E3" s="11"/>
      <c r="F3" s="11"/>
      <c r="G3" s="11"/>
      <c r="H3" s="11" t="s">
        <v>4</v>
      </c>
      <c r="I3" s="11"/>
      <c r="J3" s="11"/>
      <c r="K3" s="11"/>
      <c r="L3" s="11"/>
      <c r="M3" s="11"/>
      <c r="N3" s="22" t="s">
        <v>47</v>
      </c>
      <c r="O3" s="23"/>
      <c r="P3" s="23"/>
      <c r="Q3" s="23"/>
      <c r="R3" s="23"/>
      <c r="S3" s="23"/>
      <c r="T3" s="23"/>
      <c r="U3" s="23"/>
      <c r="V3" s="23"/>
      <c r="W3" s="23"/>
      <c r="X3" s="24"/>
      <c r="Y3" s="14" t="s">
        <v>48</v>
      </c>
      <c r="Z3" s="14"/>
      <c r="AA3" s="14"/>
      <c r="AB3" s="14"/>
      <c r="AC3" s="14"/>
      <c r="AD3" s="14"/>
      <c r="AE3" s="14"/>
      <c r="AF3" s="14"/>
      <c r="AG3" s="14"/>
      <c r="AH3" s="14"/>
      <c r="AI3" s="11" t="s">
        <v>61</v>
      </c>
      <c r="AJ3" s="11"/>
      <c r="AK3" s="11"/>
      <c r="AL3" s="11"/>
      <c r="AM3" s="11"/>
      <c r="AN3" s="11"/>
      <c r="AO3" s="11" t="s">
        <v>62</v>
      </c>
      <c r="AP3" s="11"/>
      <c r="AQ3" s="11"/>
      <c r="AR3" s="11"/>
      <c r="AS3" s="11"/>
      <c r="AT3" s="11"/>
    </row>
    <row r="4" spans="1:46" ht="24" x14ac:dyDescent="0.25">
      <c r="A4" s="16"/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12</v>
      </c>
      <c r="K4" s="2" t="s">
        <v>13</v>
      </c>
      <c r="L4" s="2" t="s">
        <v>18</v>
      </c>
      <c r="M4" s="2" t="s">
        <v>19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 t="s">
        <v>18</v>
      </c>
      <c r="V4" s="2" t="s">
        <v>56</v>
      </c>
      <c r="W4" s="2" t="s">
        <v>57</v>
      </c>
      <c r="X4" s="2" t="s">
        <v>58</v>
      </c>
      <c r="Y4" s="2" t="s">
        <v>49</v>
      </c>
      <c r="Z4" s="2" t="s">
        <v>50</v>
      </c>
      <c r="AA4" s="2" t="s">
        <v>51</v>
      </c>
      <c r="AB4" s="2" t="s">
        <v>52</v>
      </c>
      <c r="AC4" s="2" t="s">
        <v>53</v>
      </c>
      <c r="AD4" s="2" t="s">
        <v>54</v>
      </c>
      <c r="AE4" s="2" t="s">
        <v>55</v>
      </c>
      <c r="AF4" s="2" t="s">
        <v>59</v>
      </c>
      <c r="AG4" s="2" t="s">
        <v>18</v>
      </c>
      <c r="AH4" s="2" t="s">
        <v>58</v>
      </c>
      <c r="AI4" s="2" t="s">
        <v>63</v>
      </c>
      <c r="AJ4" s="2" t="s">
        <v>64</v>
      </c>
      <c r="AK4" s="2" t="s">
        <v>12</v>
      </c>
      <c r="AL4" s="2" t="s">
        <v>13</v>
      </c>
      <c r="AM4" s="2" t="s">
        <v>65</v>
      </c>
      <c r="AN4" s="2" t="s">
        <v>15</v>
      </c>
      <c r="AO4" s="2" t="s">
        <v>16</v>
      </c>
      <c r="AP4" s="2" t="s">
        <v>17</v>
      </c>
      <c r="AQ4" s="2" t="s">
        <v>12</v>
      </c>
      <c r="AR4" s="2" t="s">
        <v>13</v>
      </c>
      <c r="AS4" s="2" t="s">
        <v>18</v>
      </c>
      <c r="AT4" s="2" t="s">
        <v>19</v>
      </c>
    </row>
    <row r="5" spans="1:46" x14ac:dyDescent="0.25">
      <c r="A5" s="17" t="s">
        <v>66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f t="shared" ref="G5:G16" si="0">B5+C5-D5-E5</f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f t="shared" ref="M5:M16" si="1">H5+I5-J5-K5</f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</row>
    <row r="6" spans="1:46" x14ac:dyDescent="0.25">
      <c r="A6" s="17" t="s">
        <v>67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f t="shared" si="0"/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f t="shared" si="1"/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</row>
    <row r="7" spans="1:46" x14ac:dyDescent="0.25">
      <c r="A7" s="17" t="s">
        <v>68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f t="shared" si="0"/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f t="shared" si="1"/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</row>
    <row r="8" spans="1:46" x14ac:dyDescent="0.25">
      <c r="A8" s="17" t="s">
        <v>69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f t="shared" si="0"/>
        <v>0</v>
      </c>
      <c r="H8" s="6">
        <v>234.37</v>
      </c>
      <c r="I8" s="6">
        <v>0</v>
      </c>
      <c r="J8" s="6">
        <v>0</v>
      </c>
      <c r="K8" s="6">
        <v>0</v>
      </c>
      <c r="L8" s="6">
        <v>35.159999999999997</v>
      </c>
      <c r="M8" s="6">
        <f t="shared" si="1"/>
        <v>234.37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234.37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35.159999999999997</v>
      </c>
      <c r="AH8" s="4">
        <v>234.37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234.37</v>
      </c>
      <c r="AP8" s="4">
        <v>0</v>
      </c>
      <c r="AQ8" s="4">
        <v>0</v>
      </c>
      <c r="AR8" s="4">
        <v>0</v>
      </c>
      <c r="AS8" s="4">
        <v>35.15</v>
      </c>
      <c r="AT8" s="4">
        <v>234.37</v>
      </c>
    </row>
    <row r="9" spans="1:46" x14ac:dyDescent="0.25">
      <c r="A9" s="17" t="s">
        <v>70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f t="shared" si="0"/>
        <v>0</v>
      </c>
      <c r="H9" s="4">
        <v>0</v>
      </c>
      <c r="I9" s="4">
        <v>2600</v>
      </c>
      <c r="J9" s="4">
        <v>0</v>
      </c>
      <c r="K9" s="4">
        <v>0</v>
      </c>
      <c r="L9" s="4">
        <v>0</v>
      </c>
      <c r="M9" s="4">
        <f t="shared" si="1"/>
        <v>2600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2600</v>
      </c>
      <c r="AD9" s="6">
        <v>0</v>
      </c>
      <c r="AE9" s="6">
        <v>0</v>
      </c>
      <c r="AF9" s="6">
        <v>0</v>
      </c>
      <c r="AG9" s="6">
        <v>0</v>
      </c>
      <c r="AH9" s="6">
        <v>2600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2600</v>
      </c>
      <c r="AQ9" s="6">
        <v>0</v>
      </c>
      <c r="AR9" s="6">
        <v>0</v>
      </c>
      <c r="AS9" s="6">
        <v>0</v>
      </c>
      <c r="AT9" s="6">
        <v>2600</v>
      </c>
    </row>
    <row r="10" spans="1:46" x14ac:dyDescent="0.25">
      <c r="A10" s="17" t="s">
        <v>71</v>
      </c>
      <c r="B10" s="6">
        <v>0</v>
      </c>
      <c r="C10" s="6">
        <v>21340</v>
      </c>
      <c r="D10" s="6">
        <v>0</v>
      </c>
      <c r="E10" s="6">
        <v>0</v>
      </c>
      <c r="F10" s="6">
        <v>0</v>
      </c>
      <c r="G10" s="6">
        <f t="shared" si="0"/>
        <v>21340</v>
      </c>
      <c r="H10" s="6">
        <v>0</v>
      </c>
      <c r="I10" s="6">
        <v>11880</v>
      </c>
      <c r="J10" s="6">
        <v>0</v>
      </c>
      <c r="K10" s="6">
        <v>0</v>
      </c>
      <c r="L10" s="6">
        <v>0</v>
      </c>
      <c r="M10" s="6">
        <f t="shared" si="1"/>
        <v>11880</v>
      </c>
      <c r="N10" s="4">
        <v>0</v>
      </c>
      <c r="O10" s="4">
        <v>0</v>
      </c>
      <c r="P10" s="4">
        <v>0</v>
      </c>
      <c r="Q10" s="4">
        <v>0</v>
      </c>
      <c r="R10" s="4">
        <v>21340</v>
      </c>
      <c r="S10" s="4">
        <v>0</v>
      </c>
      <c r="T10" s="4">
        <v>0</v>
      </c>
      <c r="U10" s="4">
        <v>0</v>
      </c>
      <c r="V10" s="4">
        <v>373.45</v>
      </c>
      <c r="W10" s="4">
        <v>0</v>
      </c>
      <c r="X10" s="4">
        <v>21340</v>
      </c>
      <c r="Y10" s="4">
        <v>0</v>
      </c>
      <c r="Z10" s="4">
        <v>0</v>
      </c>
      <c r="AA10" s="4">
        <v>0</v>
      </c>
      <c r="AB10" s="4">
        <v>0</v>
      </c>
      <c r="AC10" s="4">
        <v>11880</v>
      </c>
      <c r="AD10" s="4">
        <v>0</v>
      </c>
      <c r="AE10" s="4">
        <v>0</v>
      </c>
      <c r="AF10" s="4">
        <v>0</v>
      </c>
      <c r="AG10" s="4">
        <v>0</v>
      </c>
      <c r="AH10" s="4">
        <v>11880</v>
      </c>
      <c r="AI10" s="4">
        <v>0</v>
      </c>
      <c r="AJ10" s="4">
        <v>21340</v>
      </c>
      <c r="AK10" s="4">
        <v>0</v>
      </c>
      <c r="AL10" s="4">
        <v>0</v>
      </c>
      <c r="AM10" s="4">
        <v>0</v>
      </c>
      <c r="AN10" s="4">
        <v>21340</v>
      </c>
      <c r="AO10" s="4">
        <v>0</v>
      </c>
      <c r="AP10" s="4">
        <v>11880</v>
      </c>
      <c r="AQ10" s="4">
        <v>0</v>
      </c>
      <c r="AR10" s="4">
        <v>0</v>
      </c>
      <c r="AS10" s="4">
        <v>0</v>
      </c>
      <c r="AT10" s="4">
        <v>11880</v>
      </c>
    </row>
    <row r="11" spans="1:46" x14ac:dyDescent="0.25">
      <c r="A11" s="17" t="s">
        <v>72</v>
      </c>
      <c r="B11" s="4">
        <v>0</v>
      </c>
      <c r="C11" s="4">
        <v>64888</v>
      </c>
      <c r="D11" s="4">
        <v>0</v>
      </c>
      <c r="E11" s="4">
        <v>12003</v>
      </c>
      <c r="F11" s="4">
        <v>0</v>
      </c>
      <c r="G11" s="4">
        <f t="shared" si="0"/>
        <v>52885</v>
      </c>
      <c r="H11" s="4">
        <v>8</v>
      </c>
      <c r="I11" s="4">
        <v>13770.4</v>
      </c>
      <c r="J11" s="4">
        <v>0</v>
      </c>
      <c r="K11" s="4">
        <v>0</v>
      </c>
      <c r="L11" s="4">
        <v>1.2</v>
      </c>
      <c r="M11" s="4">
        <f t="shared" si="1"/>
        <v>13778.4</v>
      </c>
      <c r="N11" s="6">
        <v>0</v>
      </c>
      <c r="O11" s="6">
        <v>0</v>
      </c>
      <c r="P11" s="6">
        <v>0</v>
      </c>
      <c r="Q11" s="6">
        <v>0</v>
      </c>
      <c r="R11" s="6">
        <v>64888</v>
      </c>
      <c r="S11" s="6">
        <v>0</v>
      </c>
      <c r="T11" s="6">
        <v>12003</v>
      </c>
      <c r="U11" s="6">
        <v>0</v>
      </c>
      <c r="V11" s="6">
        <v>765.01</v>
      </c>
      <c r="W11" s="6">
        <v>0</v>
      </c>
      <c r="X11" s="6">
        <v>52885</v>
      </c>
      <c r="Y11" s="6">
        <v>8</v>
      </c>
      <c r="Z11" s="6">
        <v>0</v>
      </c>
      <c r="AA11" s="6">
        <v>0</v>
      </c>
      <c r="AB11" s="6">
        <v>0</v>
      </c>
      <c r="AC11" s="6">
        <v>13770.4</v>
      </c>
      <c r="AD11" s="6">
        <v>0</v>
      </c>
      <c r="AE11" s="6">
        <v>0</v>
      </c>
      <c r="AF11" s="6">
        <v>0</v>
      </c>
      <c r="AG11" s="6">
        <v>1.2</v>
      </c>
      <c r="AH11" s="6">
        <v>13778.4</v>
      </c>
      <c r="AI11" s="6">
        <v>0</v>
      </c>
      <c r="AJ11" s="6">
        <v>64888</v>
      </c>
      <c r="AK11" s="6">
        <v>0</v>
      </c>
      <c r="AL11" s="6">
        <v>12003</v>
      </c>
      <c r="AM11" s="6">
        <v>0</v>
      </c>
      <c r="AN11" s="6">
        <v>52885</v>
      </c>
      <c r="AO11" s="6">
        <v>8</v>
      </c>
      <c r="AP11" s="6">
        <v>13770.4</v>
      </c>
      <c r="AQ11" s="6">
        <v>0</v>
      </c>
      <c r="AR11" s="6">
        <v>0</v>
      </c>
      <c r="AS11" s="6">
        <v>1.2</v>
      </c>
      <c r="AT11" s="6">
        <v>13778.4</v>
      </c>
    </row>
    <row r="12" spans="1:46" x14ac:dyDescent="0.25">
      <c r="A12" s="17" t="s">
        <v>73</v>
      </c>
      <c r="B12" s="6">
        <v>704</v>
      </c>
      <c r="C12" s="6">
        <v>50031</v>
      </c>
      <c r="D12" s="6">
        <v>704</v>
      </c>
      <c r="E12" s="6">
        <v>2072.5</v>
      </c>
      <c r="F12" s="6">
        <v>0</v>
      </c>
      <c r="G12" s="6">
        <f t="shared" si="0"/>
        <v>47958.5</v>
      </c>
      <c r="H12" s="6">
        <v>13.02</v>
      </c>
      <c r="I12" s="6">
        <v>39197</v>
      </c>
      <c r="J12" s="6">
        <v>0</v>
      </c>
      <c r="K12" s="6">
        <v>0</v>
      </c>
      <c r="L12" s="6">
        <v>1.95</v>
      </c>
      <c r="M12" s="6">
        <f t="shared" si="1"/>
        <v>39210.019999999997</v>
      </c>
      <c r="N12" s="4">
        <v>704</v>
      </c>
      <c r="O12" s="4">
        <v>0</v>
      </c>
      <c r="P12" s="4">
        <v>0</v>
      </c>
      <c r="Q12" s="4">
        <v>0</v>
      </c>
      <c r="R12" s="4">
        <v>50031</v>
      </c>
      <c r="S12" s="4">
        <v>0</v>
      </c>
      <c r="T12" s="4">
        <v>2776.5</v>
      </c>
      <c r="U12" s="4">
        <v>0</v>
      </c>
      <c r="V12" s="4">
        <v>755.95</v>
      </c>
      <c r="W12" s="4">
        <v>0</v>
      </c>
      <c r="X12" s="4">
        <v>47958.5</v>
      </c>
      <c r="Y12" s="4">
        <v>13.02</v>
      </c>
      <c r="Z12" s="4">
        <v>0</v>
      </c>
      <c r="AA12" s="4">
        <v>0</v>
      </c>
      <c r="AB12" s="4">
        <v>0</v>
      </c>
      <c r="AC12" s="4">
        <v>39197</v>
      </c>
      <c r="AD12" s="4">
        <v>0</v>
      </c>
      <c r="AE12" s="4">
        <v>0</v>
      </c>
      <c r="AF12" s="4">
        <v>0</v>
      </c>
      <c r="AG12" s="4">
        <v>1.95</v>
      </c>
      <c r="AH12" s="4">
        <v>39210.019999999997</v>
      </c>
      <c r="AI12" s="4">
        <v>704</v>
      </c>
      <c r="AJ12" s="4">
        <v>50031</v>
      </c>
      <c r="AK12" s="4">
        <v>704</v>
      </c>
      <c r="AL12" s="4">
        <v>2072.5</v>
      </c>
      <c r="AM12" s="4">
        <v>0</v>
      </c>
      <c r="AN12" s="4">
        <v>47958.5</v>
      </c>
      <c r="AO12" s="4">
        <v>13.02</v>
      </c>
      <c r="AP12" s="4">
        <v>39197</v>
      </c>
      <c r="AQ12" s="4">
        <v>0</v>
      </c>
      <c r="AR12" s="4">
        <v>0</v>
      </c>
      <c r="AS12" s="4">
        <v>1.95</v>
      </c>
      <c r="AT12" s="4">
        <v>39210.019999999997</v>
      </c>
    </row>
    <row r="13" spans="1:46" x14ac:dyDescent="0.25">
      <c r="A13" s="17" t="s">
        <v>74</v>
      </c>
      <c r="B13" s="4">
        <v>0</v>
      </c>
      <c r="C13" s="4">
        <v>57104</v>
      </c>
      <c r="D13" s="4">
        <v>0</v>
      </c>
      <c r="E13" s="4">
        <v>7350</v>
      </c>
      <c r="F13" s="4">
        <v>0</v>
      </c>
      <c r="G13" s="4">
        <f t="shared" si="0"/>
        <v>49754</v>
      </c>
      <c r="H13" s="4">
        <v>166.81</v>
      </c>
      <c r="I13" s="4">
        <v>40532</v>
      </c>
      <c r="J13" s="4">
        <v>0</v>
      </c>
      <c r="K13" s="4">
        <v>0</v>
      </c>
      <c r="L13" s="4">
        <v>25.02</v>
      </c>
      <c r="M13" s="4">
        <f t="shared" si="1"/>
        <v>40698.81</v>
      </c>
      <c r="N13" s="6">
        <v>0</v>
      </c>
      <c r="O13" s="6">
        <v>0</v>
      </c>
      <c r="P13" s="6">
        <v>0</v>
      </c>
      <c r="Q13" s="6">
        <v>0</v>
      </c>
      <c r="R13" s="6">
        <v>57104</v>
      </c>
      <c r="S13" s="6">
        <v>0</v>
      </c>
      <c r="T13" s="6">
        <v>7350</v>
      </c>
      <c r="U13" s="6">
        <v>0</v>
      </c>
      <c r="V13" s="6">
        <v>870.7</v>
      </c>
      <c r="W13" s="6">
        <v>0</v>
      </c>
      <c r="X13" s="6">
        <v>49754</v>
      </c>
      <c r="Y13" s="6">
        <v>166.81</v>
      </c>
      <c r="Z13" s="6">
        <v>0</v>
      </c>
      <c r="AA13" s="6">
        <v>0</v>
      </c>
      <c r="AB13" s="6">
        <v>0</v>
      </c>
      <c r="AC13" s="6">
        <v>40532</v>
      </c>
      <c r="AD13" s="6">
        <v>0</v>
      </c>
      <c r="AE13" s="6">
        <v>0</v>
      </c>
      <c r="AF13" s="6">
        <v>0</v>
      </c>
      <c r="AG13" s="6">
        <v>25.02</v>
      </c>
      <c r="AH13" s="6">
        <v>40698.81</v>
      </c>
      <c r="AI13" s="6">
        <v>0</v>
      </c>
      <c r="AJ13" s="6">
        <v>57104</v>
      </c>
      <c r="AK13" s="6">
        <v>0</v>
      </c>
      <c r="AL13" s="6">
        <v>7350</v>
      </c>
      <c r="AM13" s="6">
        <v>0</v>
      </c>
      <c r="AN13" s="6">
        <v>49754</v>
      </c>
      <c r="AO13" s="6">
        <v>166.81</v>
      </c>
      <c r="AP13" s="6">
        <v>40532</v>
      </c>
      <c r="AQ13" s="6">
        <v>0</v>
      </c>
      <c r="AR13" s="6">
        <v>0</v>
      </c>
      <c r="AS13" s="6">
        <v>25.02</v>
      </c>
      <c r="AT13" s="6">
        <v>40698.81</v>
      </c>
    </row>
    <row r="14" spans="1:46" x14ac:dyDescent="0.25">
      <c r="A14" s="17" t="s">
        <v>75</v>
      </c>
      <c r="B14" s="6">
        <v>0</v>
      </c>
      <c r="C14" s="6">
        <v>44250</v>
      </c>
      <c r="D14" s="6">
        <v>0</v>
      </c>
      <c r="E14" s="6">
        <v>0</v>
      </c>
      <c r="F14" s="6">
        <v>0</v>
      </c>
      <c r="G14" s="6">
        <f t="shared" si="0"/>
        <v>44250</v>
      </c>
      <c r="H14" s="6">
        <v>114.19</v>
      </c>
      <c r="I14" s="6">
        <v>40395</v>
      </c>
      <c r="J14" s="6">
        <v>0</v>
      </c>
      <c r="K14" s="6">
        <v>186</v>
      </c>
      <c r="L14" s="6">
        <v>17.13</v>
      </c>
      <c r="M14" s="6">
        <f t="shared" si="1"/>
        <v>40323.19</v>
      </c>
      <c r="N14" s="4">
        <v>0</v>
      </c>
      <c r="O14" s="4">
        <v>0</v>
      </c>
      <c r="P14" s="4">
        <v>0</v>
      </c>
      <c r="Q14" s="4">
        <v>0</v>
      </c>
      <c r="R14" s="4">
        <v>44250</v>
      </c>
      <c r="S14" s="4">
        <v>0</v>
      </c>
      <c r="T14" s="4">
        <v>0</v>
      </c>
      <c r="U14" s="4">
        <v>0</v>
      </c>
      <c r="V14" s="4">
        <v>774.38</v>
      </c>
      <c r="W14" s="4">
        <v>0</v>
      </c>
      <c r="X14" s="4">
        <v>44250</v>
      </c>
      <c r="Y14" s="4">
        <v>114.19</v>
      </c>
      <c r="Z14" s="4">
        <v>0</v>
      </c>
      <c r="AA14" s="4">
        <v>0</v>
      </c>
      <c r="AB14" s="4">
        <v>0</v>
      </c>
      <c r="AC14" s="4">
        <v>40395</v>
      </c>
      <c r="AD14" s="4">
        <v>0</v>
      </c>
      <c r="AE14" s="4">
        <v>186</v>
      </c>
      <c r="AF14" s="4">
        <v>0</v>
      </c>
      <c r="AG14" s="4">
        <v>17.13</v>
      </c>
      <c r="AH14" s="4">
        <v>40323.19</v>
      </c>
      <c r="AI14" s="4">
        <v>0</v>
      </c>
      <c r="AJ14" s="4">
        <v>44250</v>
      </c>
      <c r="AK14" s="4">
        <v>0</v>
      </c>
      <c r="AL14" s="4">
        <v>0</v>
      </c>
      <c r="AM14" s="4">
        <v>0</v>
      </c>
      <c r="AN14" s="4">
        <v>44250</v>
      </c>
      <c r="AO14" s="4">
        <v>114.19</v>
      </c>
      <c r="AP14" s="4">
        <v>40395</v>
      </c>
      <c r="AQ14" s="4">
        <v>0</v>
      </c>
      <c r="AR14" s="4">
        <v>186</v>
      </c>
      <c r="AS14" s="4">
        <v>17.13</v>
      </c>
      <c r="AT14" s="4">
        <v>40323.19</v>
      </c>
    </row>
    <row r="15" spans="1:46" x14ac:dyDescent="0.25">
      <c r="A15" s="17" t="s">
        <v>76</v>
      </c>
      <c r="B15" s="4">
        <v>0</v>
      </c>
      <c r="C15" s="4">
        <v>52690</v>
      </c>
      <c r="D15" s="4">
        <v>0</v>
      </c>
      <c r="E15" s="4">
        <v>0</v>
      </c>
      <c r="F15" s="4">
        <v>0</v>
      </c>
      <c r="G15" s="4">
        <f t="shared" si="0"/>
        <v>52690</v>
      </c>
      <c r="H15" s="4">
        <v>213.44</v>
      </c>
      <c r="I15" s="4">
        <v>64117.16</v>
      </c>
      <c r="J15" s="4">
        <v>0</v>
      </c>
      <c r="K15" s="4">
        <v>0</v>
      </c>
      <c r="L15" s="4">
        <v>32.020000000000003</v>
      </c>
      <c r="M15" s="4">
        <f t="shared" si="1"/>
        <v>64330.600000000006</v>
      </c>
      <c r="N15" s="6">
        <v>0</v>
      </c>
      <c r="O15" s="6">
        <v>0</v>
      </c>
      <c r="P15" s="6">
        <v>0</v>
      </c>
      <c r="Q15" s="6">
        <v>0</v>
      </c>
      <c r="R15" s="6">
        <v>52690</v>
      </c>
      <c r="S15" s="6">
        <v>0</v>
      </c>
      <c r="T15" s="6">
        <v>0</v>
      </c>
      <c r="U15" s="6">
        <v>0</v>
      </c>
      <c r="V15" s="6">
        <v>922.08</v>
      </c>
      <c r="W15" s="6">
        <v>0</v>
      </c>
      <c r="X15" s="6">
        <v>52690</v>
      </c>
      <c r="Y15" s="6">
        <v>213.44</v>
      </c>
      <c r="Z15" s="6">
        <v>0</v>
      </c>
      <c r="AA15" s="6">
        <v>0</v>
      </c>
      <c r="AB15" s="6">
        <v>0</v>
      </c>
      <c r="AC15" s="6">
        <v>65037.16</v>
      </c>
      <c r="AD15" s="6">
        <v>0</v>
      </c>
      <c r="AE15" s="6">
        <v>0</v>
      </c>
      <c r="AF15" s="6">
        <v>0</v>
      </c>
      <c r="AG15" s="6">
        <v>32.020000000000003</v>
      </c>
      <c r="AH15" s="6">
        <v>65250.6</v>
      </c>
      <c r="AI15" s="6">
        <v>0</v>
      </c>
      <c r="AJ15" s="6">
        <v>52690</v>
      </c>
      <c r="AK15" s="6">
        <v>0</v>
      </c>
      <c r="AL15" s="6">
        <v>0</v>
      </c>
      <c r="AM15" s="6">
        <v>0</v>
      </c>
      <c r="AN15" s="6">
        <v>52690</v>
      </c>
      <c r="AO15" s="6">
        <v>213.44</v>
      </c>
      <c r="AP15" s="6">
        <v>65037.16</v>
      </c>
      <c r="AQ15" s="6">
        <v>0</v>
      </c>
      <c r="AR15" s="6">
        <v>0</v>
      </c>
      <c r="AS15" s="6">
        <v>32.020000000000003</v>
      </c>
      <c r="AT15" s="6">
        <v>65250.6</v>
      </c>
    </row>
    <row r="16" spans="1:46" x14ac:dyDescent="0.25">
      <c r="A16" s="17" t="s">
        <v>77</v>
      </c>
      <c r="B16" s="6">
        <v>0</v>
      </c>
      <c r="C16" s="6">
        <v>103875</v>
      </c>
      <c r="D16" s="6">
        <v>0</v>
      </c>
      <c r="E16" s="6">
        <v>0</v>
      </c>
      <c r="F16" s="6">
        <v>0</v>
      </c>
      <c r="G16" s="6">
        <f t="shared" si="0"/>
        <v>103875</v>
      </c>
      <c r="H16" s="6">
        <v>2403.21</v>
      </c>
      <c r="I16" s="6">
        <v>125659.7</v>
      </c>
      <c r="J16" s="6">
        <v>0</v>
      </c>
      <c r="K16" s="6">
        <v>0</v>
      </c>
      <c r="L16" s="6">
        <v>360.48</v>
      </c>
      <c r="M16" s="6">
        <f t="shared" si="1"/>
        <v>128062.91</v>
      </c>
      <c r="N16" s="4">
        <v>0</v>
      </c>
      <c r="O16" s="4">
        <v>0</v>
      </c>
      <c r="P16" s="4">
        <v>0</v>
      </c>
      <c r="Q16" s="4">
        <v>0</v>
      </c>
      <c r="R16" s="4">
        <v>103875</v>
      </c>
      <c r="S16" s="4">
        <v>0</v>
      </c>
      <c r="T16" s="4">
        <v>0</v>
      </c>
      <c r="U16" s="4">
        <v>0</v>
      </c>
      <c r="V16" s="4">
        <v>1374.28</v>
      </c>
      <c r="W16" s="4">
        <v>0</v>
      </c>
      <c r="X16" s="4">
        <v>103875</v>
      </c>
      <c r="Y16" s="4">
        <v>2403.21</v>
      </c>
      <c r="Z16" s="4">
        <v>0</v>
      </c>
      <c r="AA16" s="4">
        <v>0</v>
      </c>
      <c r="AB16" s="4">
        <v>0</v>
      </c>
      <c r="AC16" s="4">
        <v>125659.7</v>
      </c>
      <c r="AD16" s="4">
        <v>0</v>
      </c>
      <c r="AE16" s="4">
        <v>0</v>
      </c>
      <c r="AF16" s="4">
        <v>0</v>
      </c>
      <c r="AG16" s="4">
        <v>360.48</v>
      </c>
      <c r="AH16" s="4">
        <v>128062.91</v>
      </c>
      <c r="AI16" s="4">
        <v>0</v>
      </c>
      <c r="AJ16" s="4">
        <v>104795</v>
      </c>
      <c r="AK16" s="4">
        <v>0</v>
      </c>
      <c r="AL16" s="4">
        <v>0</v>
      </c>
      <c r="AM16" s="4">
        <v>0</v>
      </c>
      <c r="AN16" s="4">
        <v>104795</v>
      </c>
      <c r="AO16" s="4">
        <v>2403.21</v>
      </c>
      <c r="AP16" s="4">
        <v>125659.7</v>
      </c>
      <c r="AQ16" s="4">
        <v>0</v>
      </c>
      <c r="AR16" s="4">
        <v>0</v>
      </c>
      <c r="AS16" s="4">
        <v>360.49</v>
      </c>
      <c r="AT16" s="4">
        <v>128062.91</v>
      </c>
    </row>
    <row r="17" spans="1:46" x14ac:dyDescent="0.25">
      <c r="A17" s="17" t="s">
        <v>78</v>
      </c>
      <c r="B17" s="8">
        <f t="shared" ref="B17:M17" si="2">SUM(B5:B16)</f>
        <v>704</v>
      </c>
      <c r="C17" s="8">
        <f t="shared" si="2"/>
        <v>394178</v>
      </c>
      <c r="D17" s="8">
        <f t="shared" si="2"/>
        <v>704</v>
      </c>
      <c r="E17" s="8">
        <f t="shared" si="2"/>
        <v>21425.5</v>
      </c>
      <c r="F17" s="8">
        <f t="shared" si="2"/>
        <v>0</v>
      </c>
      <c r="G17" s="8">
        <f t="shared" si="2"/>
        <v>372752.5</v>
      </c>
      <c r="H17" s="8">
        <f t="shared" si="2"/>
        <v>3153.04</v>
      </c>
      <c r="I17" s="8">
        <f t="shared" si="2"/>
        <v>338151.26</v>
      </c>
      <c r="J17" s="8">
        <f t="shared" si="2"/>
        <v>0</v>
      </c>
      <c r="K17" s="8">
        <f t="shared" si="2"/>
        <v>186</v>
      </c>
      <c r="L17" s="8">
        <f t="shared" si="2"/>
        <v>472.96000000000004</v>
      </c>
      <c r="M17" s="8">
        <f t="shared" si="2"/>
        <v>341118.3</v>
      </c>
      <c r="N17" s="8">
        <f t="shared" ref="N17:AH17" si="3">SUM(N5:N16)</f>
        <v>704</v>
      </c>
      <c r="O17" s="8">
        <f t="shared" si="3"/>
        <v>0</v>
      </c>
      <c r="P17" s="8">
        <f t="shared" si="3"/>
        <v>0</v>
      </c>
      <c r="Q17" s="8">
        <f t="shared" si="3"/>
        <v>0</v>
      </c>
      <c r="R17" s="8">
        <f t="shared" si="3"/>
        <v>394178</v>
      </c>
      <c r="S17" s="8">
        <f t="shared" si="3"/>
        <v>0</v>
      </c>
      <c r="T17" s="8">
        <f t="shared" si="3"/>
        <v>22129.5</v>
      </c>
      <c r="U17" s="8">
        <f t="shared" si="3"/>
        <v>0</v>
      </c>
      <c r="V17" s="8">
        <f t="shared" si="3"/>
        <v>5835.85</v>
      </c>
      <c r="W17" s="8">
        <f t="shared" si="3"/>
        <v>0</v>
      </c>
      <c r="X17" s="8">
        <f t="shared" si="3"/>
        <v>372752.5</v>
      </c>
      <c r="Y17" s="8">
        <f t="shared" si="3"/>
        <v>3153.04</v>
      </c>
      <c r="Z17" s="8">
        <f t="shared" si="3"/>
        <v>0</v>
      </c>
      <c r="AA17" s="8">
        <f t="shared" si="3"/>
        <v>0</v>
      </c>
      <c r="AB17" s="8">
        <f t="shared" si="3"/>
        <v>0</v>
      </c>
      <c r="AC17" s="8">
        <f t="shared" si="3"/>
        <v>339071.26</v>
      </c>
      <c r="AD17" s="8">
        <f t="shared" si="3"/>
        <v>0</v>
      </c>
      <c r="AE17" s="8">
        <f t="shared" si="3"/>
        <v>186</v>
      </c>
      <c r="AF17" s="8">
        <f t="shared" si="3"/>
        <v>0</v>
      </c>
      <c r="AG17" s="8">
        <f t="shared" si="3"/>
        <v>472.96000000000004</v>
      </c>
      <c r="AH17" s="8">
        <f t="shared" si="3"/>
        <v>342038.3</v>
      </c>
      <c r="AI17" s="15">
        <f t="shared" ref="AI17:AT17" si="4">SUM(AI8:AI16)</f>
        <v>704</v>
      </c>
      <c r="AJ17" s="15">
        <f t="shared" si="4"/>
        <v>395098</v>
      </c>
      <c r="AK17" s="15">
        <f t="shared" si="4"/>
        <v>704</v>
      </c>
      <c r="AL17" s="15">
        <f t="shared" si="4"/>
        <v>21425.5</v>
      </c>
      <c r="AM17" s="15">
        <f t="shared" si="4"/>
        <v>0</v>
      </c>
      <c r="AN17" s="15">
        <f t="shared" si="4"/>
        <v>373672.5</v>
      </c>
      <c r="AO17" s="15">
        <f t="shared" si="4"/>
        <v>3153.04</v>
      </c>
      <c r="AP17" s="15">
        <f t="shared" si="4"/>
        <v>339071.26</v>
      </c>
      <c r="AQ17" s="15">
        <f t="shared" si="4"/>
        <v>0</v>
      </c>
      <c r="AR17" s="15">
        <f t="shared" si="4"/>
        <v>186</v>
      </c>
      <c r="AS17" s="15">
        <f t="shared" si="4"/>
        <v>472.96000000000004</v>
      </c>
      <c r="AT17" s="15">
        <f t="shared" si="4"/>
        <v>342038.3</v>
      </c>
    </row>
    <row r="20" spans="1:46" x14ac:dyDescent="0.25">
      <c r="G20" s="13" t="s">
        <v>84</v>
      </c>
      <c r="H20" s="13"/>
      <c r="I20" s="13"/>
      <c r="J20" s="13"/>
      <c r="K20" s="13"/>
      <c r="L20" s="13" t="s">
        <v>87</v>
      </c>
      <c r="M20" s="13"/>
      <c r="N20" s="13"/>
      <c r="O20" s="13"/>
      <c r="P20" s="13"/>
    </row>
    <row r="21" spans="1:46" x14ac:dyDescent="0.25">
      <c r="G21" s="21" t="s">
        <v>79</v>
      </c>
      <c r="H21" t="s">
        <v>81</v>
      </c>
      <c r="I21" t="s">
        <v>82</v>
      </c>
      <c r="J21" t="s">
        <v>83</v>
      </c>
      <c r="K21" t="s">
        <v>85</v>
      </c>
      <c r="L21" s="21" t="s">
        <v>79</v>
      </c>
      <c r="M21" t="s">
        <v>88</v>
      </c>
      <c r="N21" t="s">
        <v>89</v>
      </c>
      <c r="O21" t="s">
        <v>90</v>
      </c>
      <c r="P21" t="s">
        <v>85</v>
      </c>
    </row>
    <row r="22" spans="1:46" x14ac:dyDescent="0.25">
      <c r="G22" s="21" t="s">
        <v>66</v>
      </c>
      <c r="H22" s="26">
        <v>0</v>
      </c>
      <c r="I22" s="27">
        <v>0</v>
      </c>
      <c r="J22" s="27">
        <v>0</v>
      </c>
      <c r="K22" s="25">
        <v>0</v>
      </c>
      <c r="L22" t="s">
        <v>66</v>
      </c>
      <c r="M22">
        <v>0</v>
      </c>
      <c r="N22">
        <v>0</v>
      </c>
    </row>
    <row r="23" spans="1:46" x14ac:dyDescent="0.25">
      <c r="G23" s="17" t="s">
        <v>67</v>
      </c>
      <c r="H23" s="28">
        <v>0</v>
      </c>
      <c r="I23" s="27">
        <v>0</v>
      </c>
      <c r="J23" s="27">
        <v>0</v>
      </c>
      <c r="K23" s="25">
        <v>0</v>
      </c>
      <c r="L23" t="s">
        <v>67</v>
      </c>
      <c r="M23">
        <v>0</v>
      </c>
      <c r="N23">
        <v>0</v>
      </c>
    </row>
    <row r="24" spans="1:46" x14ac:dyDescent="0.25">
      <c r="G24" s="17" t="s">
        <v>68</v>
      </c>
      <c r="H24" s="26">
        <v>0</v>
      </c>
      <c r="I24" s="27">
        <v>0</v>
      </c>
      <c r="J24" s="27">
        <v>0</v>
      </c>
      <c r="K24" s="25">
        <v>0</v>
      </c>
      <c r="L24" t="s">
        <v>68</v>
      </c>
      <c r="M24">
        <v>0</v>
      </c>
      <c r="N24">
        <v>0</v>
      </c>
    </row>
    <row r="25" spans="1:46" x14ac:dyDescent="0.25">
      <c r="G25" s="17" t="s">
        <v>69</v>
      </c>
      <c r="H25" s="28">
        <v>0</v>
      </c>
      <c r="I25" s="27">
        <v>0</v>
      </c>
      <c r="J25" s="27">
        <v>0</v>
      </c>
      <c r="K25" s="25">
        <v>0</v>
      </c>
      <c r="L25" t="s">
        <v>69</v>
      </c>
      <c r="M25">
        <v>234.37</v>
      </c>
      <c r="N25">
        <v>234.37</v>
      </c>
    </row>
    <row r="26" spans="1:46" x14ac:dyDescent="0.25">
      <c r="G26" s="17" t="s">
        <v>70</v>
      </c>
      <c r="H26" s="26">
        <v>0</v>
      </c>
      <c r="I26" s="27">
        <v>0</v>
      </c>
      <c r="J26" s="27">
        <v>0</v>
      </c>
      <c r="K26" s="25">
        <v>0</v>
      </c>
      <c r="L26" t="s">
        <v>70</v>
      </c>
      <c r="M26">
        <v>2600</v>
      </c>
      <c r="N26">
        <v>2600</v>
      </c>
    </row>
    <row r="27" spans="1:46" x14ac:dyDescent="0.25">
      <c r="G27" s="17" t="s">
        <v>71</v>
      </c>
      <c r="H27" s="28">
        <v>21340</v>
      </c>
      <c r="I27" s="27">
        <v>21340</v>
      </c>
      <c r="J27" s="27">
        <v>21340</v>
      </c>
      <c r="K27" s="25">
        <v>0</v>
      </c>
      <c r="L27" t="s">
        <v>71</v>
      </c>
      <c r="M27">
        <v>11880</v>
      </c>
      <c r="N27">
        <v>11880</v>
      </c>
    </row>
    <row r="28" spans="1:46" x14ac:dyDescent="0.25">
      <c r="G28" s="17" t="s">
        <v>72</v>
      </c>
      <c r="H28" s="26">
        <v>52885</v>
      </c>
      <c r="I28" s="27">
        <v>52885</v>
      </c>
      <c r="J28" s="27">
        <v>52885</v>
      </c>
      <c r="K28" s="25">
        <v>0</v>
      </c>
      <c r="L28" t="s">
        <v>72</v>
      </c>
      <c r="M28">
        <v>13778.4</v>
      </c>
      <c r="N28">
        <v>13778.4</v>
      </c>
    </row>
    <row r="29" spans="1:46" x14ac:dyDescent="0.25">
      <c r="G29" s="17" t="s">
        <v>73</v>
      </c>
      <c r="H29" s="28">
        <v>47958.5</v>
      </c>
      <c r="I29" s="27">
        <v>47958.5</v>
      </c>
      <c r="J29" s="27">
        <v>47958.5</v>
      </c>
      <c r="K29" s="25">
        <v>0</v>
      </c>
      <c r="L29" t="s">
        <v>73</v>
      </c>
      <c r="M29">
        <v>39210.019999999997</v>
      </c>
      <c r="N29">
        <v>39210.019999999997</v>
      </c>
    </row>
    <row r="30" spans="1:46" x14ac:dyDescent="0.25">
      <c r="G30" s="17" t="s">
        <v>74</v>
      </c>
      <c r="H30" s="26">
        <v>49754</v>
      </c>
      <c r="I30" s="27">
        <v>49754</v>
      </c>
      <c r="J30" s="27">
        <v>49754</v>
      </c>
      <c r="K30" s="25">
        <v>0</v>
      </c>
      <c r="L30" t="s">
        <v>74</v>
      </c>
      <c r="M30">
        <v>40698.81</v>
      </c>
      <c r="N30">
        <v>40698.81</v>
      </c>
    </row>
    <row r="31" spans="1:46" x14ac:dyDescent="0.25">
      <c r="G31" s="17" t="s">
        <v>75</v>
      </c>
      <c r="H31" s="28">
        <v>44250</v>
      </c>
      <c r="I31" s="27">
        <v>44250</v>
      </c>
      <c r="J31" s="27">
        <v>44250</v>
      </c>
      <c r="K31" s="25">
        <v>0</v>
      </c>
      <c r="L31" t="s">
        <v>75</v>
      </c>
      <c r="M31">
        <v>40323.19</v>
      </c>
      <c r="N31">
        <v>40323.19</v>
      </c>
    </row>
    <row r="32" spans="1:46" x14ac:dyDescent="0.25">
      <c r="G32" s="17" t="s">
        <v>76</v>
      </c>
      <c r="H32" s="26">
        <v>52690</v>
      </c>
      <c r="I32" s="27">
        <v>52690</v>
      </c>
      <c r="J32" s="27">
        <v>52690</v>
      </c>
      <c r="K32" s="25">
        <v>0</v>
      </c>
      <c r="L32" t="s">
        <v>76</v>
      </c>
      <c r="M32">
        <v>64330.600000000006</v>
      </c>
      <c r="N32">
        <v>65250.6</v>
      </c>
    </row>
    <row r="33" spans="7:14" ht="75" x14ac:dyDescent="0.25">
      <c r="G33" s="17" t="s">
        <v>77</v>
      </c>
      <c r="H33" s="28">
        <v>103875</v>
      </c>
      <c r="I33" s="27">
        <v>103875</v>
      </c>
      <c r="J33" s="27">
        <v>104795</v>
      </c>
      <c r="K33" s="30" t="s">
        <v>86</v>
      </c>
      <c r="L33" s="25" t="s">
        <v>77</v>
      </c>
      <c r="M33">
        <v>128062.91</v>
      </c>
      <c r="N33">
        <v>128062.91</v>
      </c>
    </row>
    <row r="34" spans="7:14" x14ac:dyDescent="0.25">
      <c r="G34" s="17" t="s">
        <v>78</v>
      </c>
      <c r="H34" s="29">
        <v>372752.5</v>
      </c>
      <c r="I34" s="27">
        <v>372752.5</v>
      </c>
      <c r="J34" s="27">
        <v>373672.5</v>
      </c>
      <c r="K34" s="25">
        <f t="shared" ref="K23:K34" si="5">+H34-I34-J34</f>
        <v>-373672.5</v>
      </c>
      <c r="L34" t="s">
        <v>78</v>
      </c>
      <c r="M34">
        <v>341118.3</v>
      </c>
      <c r="N34">
        <v>342038.3</v>
      </c>
    </row>
    <row r="35" spans="7:14" x14ac:dyDescent="0.25">
      <c r="H35" s="27"/>
      <c r="I35" s="27"/>
      <c r="J35" s="27"/>
    </row>
  </sheetData>
  <mergeCells count="11">
    <mergeCell ref="G20:K20"/>
    <mergeCell ref="L20:P20"/>
    <mergeCell ref="AI3:AN3"/>
    <mergeCell ref="AO3:AT3"/>
    <mergeCell ref="A3:A4"/>
    <mergeCell ref="AI2:AT2"/>
    <mergeCell ref="N3:X3"/>
    <mergeCell ref="B3:G3"/>
    <mergeCell ref="H3:M3"/>
    <mergeCell ref="B2:M2"/>
    <mergeCell ref="N2:AH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Maestra</vt:lpstr>
      <vt:lpstr>AUDITORIA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2026-07-09T19:56:58Z</dcterms:created>
  <dcterms:modified xsi:type="dcterms:W3CDTF">2026-07-09T20:13:32Z</dcterms:modified>
  <cp:category/>
</cp:coreProperties>
</file>